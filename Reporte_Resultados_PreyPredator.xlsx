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Datos_Detalle" sheetId="2" state="visible" r:id="rId2"/>
    <sheet xmlns:r="http://schemas.openxmlformats.org/officeDocument/2006/relationships" name="Resumen" sheetId="3" state="visible" r:id="rId3"/>
  </sheets>
  <definedNames>
    <definedName name="_xlnm._FilterDatabase" localSheetId="1" hidden="1">'Datos_Detalle'!$A$1:$L$541</definedName>
    <definedName name="_xlnm._FilterDatabase" localSheetId="2" hidden="1">'Resumen'!$A$1:$AF$19</definedName>
  </definedNames>
  <calcPr calcId="124519" fullCalcOnLoad="1"/>
</workbook>
</file>

<file path=xl/styles.xml><?xml version="1.0" encoding="utf-8"?>
<styleSheet xmlns="http://schemas.openxmlformats.org/spreadsheetml/2006/main">
  <numFmts count="2">
    <numFmt numFmtId="164" formatCode="0.000"/>
    <numFmt numFmtId="165" formatCode="0.0000"/>
  </numFmts>
  <fonts count="6">
    <font>
      <name val="Calibri"/>
      <family val="2"/>
      <color theme="1"/>
      <sz val="11"/>
      <scheme val="minor"/>
    </font>
    <font>
      <name val="Arial"/>
      <b val="1"/>
      <color rgb="001F4E78"/>
      <sz val="16"/>
    </font>
    <font>
      <name val="Arial"/>
      <sz val="11"/>
    </font>
    <font>
      <name val="Arial"/>
      <b val="1"/>
      <color rgb="001F4E78"/>
      <sz val="12"/>
    </font>
    <font>
      <name val="Arial"/>
      <b val="1"/>
      <sz val="11"/>
    </font>
    <font>
      <name val="Arial"/>
      <b val="1"/>
      <color rgb="00FFFFFF"/>
      <sz val="11"/>
    </font>
  </fonts>
  <fills count="5">
    <fill>
      <patternFill/>
    </fill>
    <fill>
      <patternFill patternType="gray125"/>
    </fill>
    <fill>
      <patternFill patternType="solid">
        <fgColor rgb="001F4E78"/>
      </patternFill>
    </fill>
    <fill>
      <patternFill patternType="solid">
        <fgColor rgb="00DDEBF7"/>
      </patternFill>
    </fill>
    <fill>
      <patternFill patternType="solid">
        <fgColor rgb="00FCE4D6"/>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5" fillId="2" borderId="1" applyAlignment="1" pivotButton="0" quotePrefix="0" xfId="0">
      <alignment horizontal="center" vertical="center" wrapText="1"/>
    </xf>
    <xf numFmtId="0" fontId="0" fillId="3" borderId="1" applyAlignment="1" pivotButton="0" quotePrefix="0" xfId="0">
      <alignment horizontal="center"/>
    </xf>
    <xf numFmtId="2" fontId="0" fillId="3" borderId="1" pivotButton="0" quotePrefix="0" xfId="0"/>
    <xf numFmtId="164" fontId="0" fillId="3" borderId="1" pivotButton="0" quotePrefix="0" xfId="0"/>
    <xf numFmtId="165" fontId="0" fillId="3" borderId="1" pivotButton="0" quotePrefix="0" xfId="0"/>
    <xf numFmtId="1" fontId="0" fillId="3" borderId="1" pivotButton="0" quotePrefix="0" xfId="0"/>
    <xf numFmtId="0" fontId="0" fillId="4" borderId="1" applyAlignment="1" pivotButton="0" quotePrefix="0" xfId="0">
      <alignment horizontal="center"/>
    </xf>
    <xf numFmtId="2" fontId="0" fillId="4" borderId="1" pivotButton="0" quotePrefix="0" xfId="0"/>
    <xf numFmtId="164" fontId="0" fillId="4" borderId="1" pivotButton="0" quotePrefix="0" xfId="0"/>
    <xf numFmtId="165" fontId="0" fillId="4" borderId="1" pivotButton="0" quotePrefix="0" xfId="0"/>
    <xf numFmtId="1" fontId="0" fillId="4" borderId="1" pivotButton="0" quotePrefix="0" xfId="0"/>
    <xf numFmtId="2" fontId="0" fillId="3" borderId="1" applyAlignment="1" pivotButton="0" quotePrefix="0" xfId="0">
      <alignment horizontal="center"/>
    </xf>
    <xf numFmtId="164" fontId="0" fillId="3" borderId="1" applyAlignment="1" pivotButton="0" quotePrefix="0" xfId="0">
      <alignment horizontal="center"/>
    </xf>
    <xf numFmtId="165" fontId="0" fillId="3" borderId="1" applyAlignment="1" pivotButton="0" quotePrefix="0" xfId="0">
      <alignment horizontal="center"/>
    </xf>
    <xf numFmtId="1" fontId="0" fillId="3" borderId="1" applyAlignment="1" pivotButton="0" quotePrefix="0" xfId="0">
      <alignment horizontal="center"/>
    </xf>
    <xf numFmtId="0" fontId="0" fillId="3" borderId="1" pivotButton="0" quotePrefix="0" xfId="0"/>
    <xf numFmtId="2" fontId="0" fillId="4" borderId="1" applyAlignment="1" pivotButton="0" quotePrefix="0" xfId="0">
      <alignment horizontal="center"/>
    </xf>
    <xf numFmtId="164" fontId="0" fillId="4" borderId="1" applyAlignment="1" pivotButton="0" quotePrefix="0" xfId="0">
      <alignment horizontal="center"/>
    </xf>
    <xf numFmtId="165" fontId="0" fillId="4" borderId="1" applyAlignment="1" pivotButton="0" quotePrefix="0" xfId="0">
      <alignment horizontal="center"/>
    </xf>
    <xf numFmtId="1" fontId="0" fillId="4" borderId="1" applyAlignment="1" pivotButton="0" quotePrefix="0" xfId="0">
      <alignment horizontal="center"/>
    </xf>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5"/>
  <sheetViews>
    <sheetView showGridLines="0" workbookViewId="0">
      <selection activeCell="A1" sqref="A1"/>
    </sheetView>
  </sheetViews>
  <sheetFormatPr baseColWidth="8" defaultRowHeight="15"/>
  <cols>
    <col width="2" customWidth="1" min="1" max="1"/>
    <col width="26" customWidth="1" min="2" max="2"/>
    <col width="14" customWidth="1" min="3" max="3"/>
    <col width="14" customWidth="1" min="4" max="4"/>
    <col width="14" customWidth="1" min="5" max="5"/>
    <col width="14" customWidth="1" min="6" max="6"/>
    <col width="14" customWidth="1" min="7" max="7"/>
    <col width="14" customWidth="1" min="8" max="8"/>
  </cols>
  <sheetData>
    <row r="2">
      <c r="B2" s="1" t="inlineStr">
        <is>
          <t>Reporte de Resultados — Tarea Prey-Predator (RAOI Swarm Simulator)</t>
        </is>
      </c>
    </row>
    <row r="4" ht="32" customHeight="1">
      <c r="B4" s="2" t="inlineStr">
        <is>
          <t>Este archivo se generó automáticamente a partir de los .npy guardados en Results/&lt;carpeta&gt;/prey_predator_metrics_report.npy de este repositorio, ejecutando el script generar_reporte_excel.py.</t>
        </is>
      </c>
    </row>
    <row r="7">
      <c r="B7" s="3" t="inlineStr">
        <is>
          <t>Contenido de las hojas</t>
        </is>
      </c>
    </row>
    <row r="8" ht="28" customHeight="1">
      <c r="B8" s="4" t="inlineStr">
        <is>
          <t>Resumen</t>
        </is>
      </c>
      <c r="C8" s="5" t="inlineStr">
        <is>
          <t>Una fila por Carpeta (cada Carpeta = una configuración de simulación corrida con 'Statistical run'). Incluye los parámetros de entrada (Predators, Preys, modo de asignación, radios), el promedio de cada métrica sobre todas sus réplicas, su desviación estándar, y una columna combinada 'Media ± DE' lista para reportar o copiar/pegar.</t>
        </is>
      </c>
    </row>
    <row r="9" ht="28" customHeight="1">
      <c r="B9" s="4" t="inlineStr">
        <is>
          <t>Datos_Detalle</t>
        </is>
      </c>
      <c r="C9" s="5" t="inlineStr">
        <is>
          <t>Una fila por réplica individual (todas las Carpetas juntas). Permite filtrar/dinamizar los datos crudos en Excel (tablas dinámicas, etc.).</t>
        </is>
      </c>
    </row>
    <row r="11">
      <c r="B11" s="3" t="inlineStr">
        <is>
          <t>Significado de las métricas</t>
        </is>
      </c>
    </row>
    <row r="12" ht="28" customHeight="1">
      <c r="B12" s="4" t="inlineStr">
        <is>
          <t>Tiempo de captura (iter)</t>
        </is>
      </c>
      <c r="C12" s="5" t="inlineStr">
        <is>
          <t>completion_time: iteraciones de simulación hasta capturar todas las presas asignadas.</t>
        </is>
      </c>
    </row>
    <row r="13" ht="28" customHeight="1">
      <c r="B13" s="4" t="inlineStr">
        <is>
          <t>Fracción de éxito</t>
        </is>
      </c>
      <c r="C13" s="5" t="inlineStr">
        <is>
          <t>success_fraction: proporción de presas que sí fueron capturadas (1.0 = el 100%).</t>
        </is>
      </c>
    </row>
    <row r="14" ht="28" customHeight="1">
      <c r="B14" s="4" t="inlineStr">
        <is>
          <t>Cohesión media (m)</t>
        </is>
      </c>
      <c r="C14" s="5" t="inlineStr">
        <is>
          <t>cohesion_mean: dispersión promedio del enjambre de depredadores durante toda la corrida (metros).</t>
        </is>
      </c>
    </row>
    <row r="15" ht="28" customHeight="1">
      <c r="B15" s="4" t="inlineStr">
        <is>
          <t>Presas capturadas</t>
        </is>
      </c>
      <c r="C15" s="5" t="inlineStr">
        <is>
          <t>n_captured: número de presas efectivamente capturadas en esa réplica.</t>
        </is>
      </c>
    </row>
    <row r="16" ht="28" customHeight="1">
      <c r="B16" s="4" t="inlineStr">
        <is>
          <t>Intervalo entre capturas (iter)</t>
        </is>
      </c>
      <c r="C16" s="5" t="inlineStr">
        <is>
          <t>inter_capture_interval: iteraciones promedio transcurridas entre una captura y la siguiente.</t>
        </is>
      </c>
    </row>
    <row r="17" ht="28" customHeight="1">
      <c r="B17" s="4" t="inlineStr">
        <is>
          <t>Cohesión al capturar (m)</t>
        </is>
      </c>
      <c r="C17" s="5" t="inlineStr">
        <is>
          <t>cohesion_at_capture: cohesión del enjambre justo en el instante de cada captura (metros).</t>
        </is>
      </c>
    </row>
    <row r="18" ht="28" customHeight="1">
      <c r="B18" s="4" t="inlineStr">
        <is>
          <t>Tasa de división del enjambre</t>
        </is>
      </c>
      <c r="C18" s="5" t="inlineStr">
        <is>
          <t>swarm_split_ratio: fracción de iteraciones en que el enjambre se dividió para perseguir presas distintas (0 = nunca se dividió).</t>
        </is>
      </c>
    </row>
    <row r="20">
      <c r="B20" s="3" t="inlineStr">
        <is>
          <t>Parámetros de entrada</t>
        </is>
      </c>
    </row>
    <row r="21" ht="28" customHeight="1">
      <c r="B21" s="4" t="inlineStr">
        <is>
          <t>Predators / Preys</t>
        </is>
      </c>
      <c r="C21" s="5" t="inlineStr">
        <is>
          <t>Número de depredadores y presas en esa configuración.</t>
        </is>
      </c>
    </row>
    <row r="22" ht="28" customHeight="1">
      <c r="B22" s="4" t="inlineStr">
        <is>
          <t>Modo de asignación</t>
        </is>
      </c>
      <c r="C22" s="5" t="inlineStr">
        <is>
          <t>Emergent (EA): asignación de presas surge del comportamiento del enjambre. Focused (FA): asignación dirigida/forzada.</t>
        </is>
      </c>
    </row>
    <row r="23" ht="28" customHeight="1">
      <c r="B23" s="4" t="inlineStr">
        <is>
          <t>Radios (m)</t>
        </is>
      </c>
      <c r="C23" s="5" t="inlineStr">
        <is>
          <t>Repulsión, orientación, atracción, influencia y repulsión de presa: parámetros del modelo de comportamiento (zonas del enjambre).</t>
        </is>
      </c>
    </row>
    <row r="25" ht="28" customHeight="1">
      <c r="B25" s="4" t="inlineStr">
        <is>
          <t>Fuente de los parámetros</t>
        </is>
      </c>
      <c r="C25" s="5" t="inlineStr">
        <is>
          <t>Predators, Preys y Allocation mode se extrajeron automáticamente de las transcripciones de terminal en la carpeta Notes/*.txt (columna 'Nota origen' en la hoja Resumen indica de qué .txt salió cada fila).</t>
        </is>
      </c>
    </row>
  </sheetData>
  <mergeCells count="14">
    <mergeCell ref="C25:H25"/>
    <mergeCell ref="C16:H16"/>
    <mergeCell ref="C14:H14"/>
    <mergeCell ref="C13:H13"/>
    <mergeCell ref="B4:H4"/>
    <mergeCell ref="C9:H9"/>
    <mergeCell ref="C22:H22"/>
    <mergeCell ref="C23:H23"/>
    <mergeCell ref="C8:H8"/>
    <mergeCell ref="C18:H18"/>
    <mergeCell ref="C17:H17"/>
    <mergeCell ref="C12:H12"/>
    <mergeCell ref="C21:H21"/>
    <mergeCell ref="C15:H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1" customWidth="1" min="3" max="3"/>
    <col width="9" customWidth="1" min="4" max="4"/>
    <col width="20" customWidth="1" min="5" max="5"/>
    <col width="24" customWidth="1" min="6" max="6"/>
    <col width="24" customWidth="1" min="7" max="7"/>
    <col width="24" customWidth="1" min="8" max="8"/>
    <col width="24" customWidth="1" min="9" max="9"/>
    <col width="24" customWidth="1" min="10" max="10"/>
    <col width="24" customWidth="1" min="11" max="11"/>
    <col width="24" customWidth="1" min="12" max="12"/>
  </cols>
  <sheetData>
    <row r="1">
      <c r="A1" s="6" t="inlineStr">
        <is>
          <t>Carpeta</t>
        </is>
      </c>
      <c r="B1" s="6" t="inlineStr">
        <is>
          <t>Réplica</t>
        </is>
      </c>
      <c r="C1" s="6" t="inlineStr">
        <is>
          <t>Predators</t>
        </is>
      </c>
      <c r="D1" s="6" t="inlineStr">
        <is>
          <t>Preys</t>
        </is>
      </c>
      <c r="E1" s="6" t="inlineStr">
        <is>
          <t>Modo de asignación</t>
        </is>
      </c>
      <c r="F1" s="6" t="inlineStr">
        <is>
          <t>Tiempo de captura (iter)</t>
        </is>
      </c>
      <c r="G1" s="6" t="inlineStr">
        <is>
          <t>Fracción de éxito</t>
        </is>
      </c>
      <c r="H1" s="6" t="inlineStr">
        <is>
          <t>Cohesión media (m)</t>
        </is>
      </c>
      <c r="I1" s="6" t="inlineStr">
        <is>
          <t>Presas capturadas</t>
        </is>
      </c>
      <c r="J1" s="6" t="inlineStr">
        <is>
          <t>Intervalo entre capturas (iter)</t>
        </is>
      </c>
      <c r="K1" s="6" t="inlineStr">
        <is>
          <t>Cohesión al capturar (m)</t>
        </is>
      </c>
      <c r="L1" s="6" t="inlineStr">
        <is>
          <t>Tasa de división del enjambre</t>
        </is>
      </c>
    </row>
    <row r="2">
      <c r="A2" s="7" t="n">
        <v>1</v>
      </c>
      <c r="B2" s="7" t="n">
        <v>1</v>
      </c>
      <c r="C2" s="7" t="n">
        <v>8</v>
      </c>
      <c r="D2" s="7" t="n">
        <v>1</v>
      </c>
      <c r="E2" s="7" t="inlineStr">
        <is>
          <t>Emergent (EA)</t>
        </is>
      </c>
      <c r="F2" s="8" t="n">
        <v>139</v>
      </c>
      <c r="G2" s="9" t="n">
        <v>1</v>
      </c>
      <c r="H2" s="10" t="n">
        <v>0.5953673523929245</v>
      </c>
      <c r="I2" s="11" t="n">
        <v>1</v>
      </c>
      <c r="J2" s="8" t="n">
        <v>139</v>
      </c>
      <c r="K2" s="10" t="n">
        <v>0.4969209916665228</v>
      </c>
      <c r="L2" s="10" t="n">
        <v>0</v>
      </c>
    </row>
    <row r="3">
      <c r="A3" s="7" t="n">
        <v>1</v>
      </c>
      <c r="B3" s="7" t="n">
        <v>2</v>
      </c>
      <c r="C3" s="7" t="n">
        <v>8</v>
      </c>
      <c r="D3" s="7" t="n">
        <v>1</v>
      </c>
      <c r="E3" s="7" t="inlineStr">
        <is>
          <t>Emergent (EA)</t>
        </is>
      </c>
      <c r="F3" s="8" t="n">
        <v>103</v>
      </c>
      <c r="G3" s="9" t="n">
        <v>1</v>
      </c>
      <c r="H3" s="10" t="n">
        <v>0.5157949471826883</v>
      </c>
      <c r="I3" s="11" t="n">
        <v>1</v>
      </c>
      <c r="J3" s="8" t="n">
        <v>103</v>
      </c>
      <c r="K3" s="10" t="n">
        <v>0.4094030448783919</v>
      </c>
      <c r="L3" s="10" t="n">
        <v>0</v>
      </c>
    </row>
    <row r="4">
      <c r="A4" s="7" t="n">
        <v>1</v>
      </c>
      <c r="B4" s="7" t="n">
        <v>3</v>
      </c>
      <c r="C4" s="7" t="n">
        <v>8</v>
      </c>
      <c r="D4" s="7" t="n">
        <v>1</v>
      </c>
      <c r="E4" s="7" t="inlineStr">
        <is>
          <t>Emergent (EA)</t>
        </is>
      </c>
      <c r="F4" s="8" t="n">
        <v>37</v>
      </c>
      <c r="G4" s="9" t="n">
        <v>1</v>
      </c>
      <c r="H4" s="10" t="n">
        <v>0.6190523322430925</v>
      </c>
      <c r="I4" s="11" t="n">
        <v>1</v>
      </c>
      <c r="J4" s="8" t="n">
        <v>37</v>
      </c>
      <c r="K4" s="10" t="n">
        <v>0.4386376438731701</v>
      </c>
      <c r="L4" s="10" t="n">
        <v>0</v>
      </c>
    </row>
    <row r="5">
      <c r="A5" s="7" t="n">
        <v>1</v>
      </c>
      <c r="B5" s="7" t="n">
        <v>4</v>
      </c>
      <c r="C5" s="7" t="n">
        <v>8</v>
      </c>
      <c r="D5" s="7" t="n">
        <v>1</v>
      </c>
      <c r="E5" s="7" t="inlineStr">
        <is>
          <t>Emergent (EA)</t>
        </is>
      </c>
      <c r="F5" s="8" t="n">
        <v>114</v>
      </c>
      <c r="G5" s="9" t="n">
        <v>1</v>
      </c>
      <c r="H5" s="10" t="n">
        <v>0.4941338999610954</v>
      </c>
      <c r="I5" s="11" t="n">
        <v>1</v>
      </c>
      <c r="J5" s="8" t="n">
        <v>114</v>
      </c>
      <c r="K5" s="10" t="n">
        <v>0.4141679094992009</v>
      </c>
      <c r="L5" s="10" t="n">
        <v>0</v>
      </c>
    </row>
    <row r="6">
      <c r="A6" s="7" t="n">
        <v>1</v>
      </c>
      <c r="B6" s="7" t="n">
        <v>5</v>
      </c>
      <c r="C6" s="7" t="n">
        <v>8</v>
      </c>
      <c r="D6" s="7" t="n">
        <v>1</v>
      </c>
      <c r="E6" s="7" t="inlineStr">
        <is>
          <t>Emergent (EA)</t>
        </is>
      </c>
      <c r="F6" s="8" t="n">
        <v>59</v>
      </c>
      <c r="G6" s="9" t="n">
        <v>1</v>
      </c>
      <c r="H6" s="10" t="n">
        <v>0.6541375843932893</v>
      </c>
      <c r="I6" s="11" t="n">
        <v>1</v>
      </c>
      <c r="J6" s="8" t="n">
        <v>59</v>
      </c>
      <c r="K6" s="10" t="n">
        <v>0.4327264767404164</v>
      </c>
      <c r="L6" s="10" t="n">
        <v>0</v>
      </c>
    </row>
    <row r="7">
      <c r="A7" s="7" t="n">
        <v>1</v>
      </c>
      <c r="B7" s="7" t="n">
        <v>6</v>
      </c>
      <c r="C7" s="7" t="n">
        <v>8</v>
      </c>
      <c r="D7" s="7" t="n">
        <v>1</v>
      </c>
      <c r="E7" s="7" t="inlineStr">
        <is>
          <t>Emergent (EA)</t>
        </is>
      </c>
      <c r="F7" s="8" t="n">
        <v>85</v>
      </c>
      <c r="G7" s="9" t="n">
        <v>1</v>
      </c>
      <c r="H7" s="10" t="n">
        <v>0.6174787902403879</v>
      </c>
      <c r="I7" s="11" t="n">
        <v>1</v>
      </c>
      <c r="J7" s="8" t="n">
        <v>85</v>
      </c>
      <c r="K7" s="10" t="n">
        <v>0.45039883330634</v>
      </c>
      <c r="L7" s="10" t="n">
        <v>0</v>
      </c>
    </row>
    <row r="8">
      <c r="A8" s="7" t="n">
        <v>1</v>
      </c>
      <c r="B8" s="7" t="n">
        <v>7</v>
      </c>
      <c r="C8" s="7" t="n">
        <v>8</v>
      </c>
      <c r="D8" s="7" t="n">
        <v>1</v>
      </c>
      <c r="E8" s="7" t="inlineStr">
        <is>
          <t>Emergent (EA)</t>
        </is>
      </c>
      <c r="F8" s="8" t="n">
        <v>148</v>
      </c>
      <c r="G8" s="9" t="n">
        <v>1</v>
      </c>
      <c r="H8" s="10" t="n">
        <v>0.543320064780066</v>
      </c>
      <c r="I8" s="11" t="n">
        <v>1</v>
      </c>
      <c r="J8" s="8" t="n">
        <v>148</v>
      </c>
      <c r="K8" s="10" t="n">
        <v>0.4102931318903483</v>
      </c>
      <c r="L8" s="10" t="n">
        <v>0</v>
      </c>
    </row>
    <row r="9">
      <c r="A9" s="7" t="n">
        <v>1</v>
      </c>
      <c r="B9" s="7" t="n">
        <v>8</v>
      </c>
      <c r="C9" s="7" t="n">
        <v>8</v>
      </c>
      <c r="D9" s="7" t="n">
        <v>1</v>
      </c>
      <c r="E9" s="7" t="inlineStr">
        <is>
          <t>Emergent (EA)</t>
        </is>
      </c>
      <c r="F9" s="8" t="n">
        <v>77</v>
      </c>
      <c r="G9" s="9" t="n">
        <v>1</v>
      </c>
      <c r="H9" s="10" t="n">
        <v>0.5082414650479178</v>
      </c>
      <c r="I9" s="11" t="n">
        <v>1</v>
      </c>
      <c r="J9" s="8" t="n">
        <v>77</v>
      </c>
      <c r="K9" s="10" t="n">
        <v>0.4793092602469067</v>
      </c>
      <c r="L9" s="10" t="n">
        <v>0</v>
      </c>
    </row>
    <row r="10">
      <c r="A10" s="7" t="n">
        <v>1</v>
      </c>
      <c r="B10" s="7" t="n">
        <v>9</v>
      </c>
      <c r="C10" s="7" t="n">
        <v>8</v>
      </c>
      <c r="D10" s="7" t="n">
        <v>1</v>
      </c>
      <c r="E10" s="7" t="inlineStr">
        <is>
          <t>Emergent (EA)</t>
        </is>
      </c>
      <c r="F10" s="8" t="n">
        <v>167</v>
      </c>
      <c r="G10" s="9" t="n">
        <v>1</v>
      </c>
      <c r="H10" s="10" t="n">
        <v>1.252966159265373</v>
      </c>
      <c r="I10" s="11" t="n">
        <v>1</v>
      </c>
      <c r="J10" s="8" t="n">
        <v>167</v>
      </c>
      <c r="K10" s="10" t="n">
        <v>0.3901975684129407</v>
      </c>
      <c r="L10" s="10" t="n">
        <v>0</v>
      </c>
    </row>
    <row r="11">
      <c r="A11" s="7" t="n">
        <v>1</v>
      </c>
      <c r="B11" s="7" t="n">
        <v>10</v>
      </c>
      <c r="C11" s="7" t="n">
        <v>8</v>
      </c>
      <c r="D11" s="7" t="n">
        <v>1</v>
      </c>
      <c r="E11" s="7" t="inlineStr">
        <is>
          <t>Emergent (EA)</t>
        </is>
      </c>
      <c r="F11" s="8" t="n">
        <v>248</v>
      </c>
      <c r="G11" s="9" t="n">
        <v>1</v>
      </c>
      <c r="H11" s="10" t="n">
        <v>0.5252574222976447</v>
      </c>
      <c r="I11" s="11" t="n">
        <v>1</v>
      </c>
      <c r="J11" s="8" t="n">
        <v>248</v>
      </c>
      <c r="K11" s="10" t="n">
        <v>0.4244289559140897</v>
      </c>
      <c r="L11" s="10" t="n">
        <v>0</v>
      </c>
    </row>
    <row r="12">
      <c r="A12" s="7" t="n">
        <v>1</v>
      </c>
      <c r="B12" s="7" t="n">
        <v>11</v>
      </c>
      <c r="C12" s="7" t="n">
        <v>8</v>
      </c>
      <c r="D12" s="7" t="n">
        <v>1</v>
      </c>
      <c r="E12" s="7" t="inlineStr">
        <is>
          <t>Emergent (EA)</t>
        </is>
      </c>
      <c r="F12" s="8" t="n">
        <v>154</v>
      </c>
      <c r="G12" s="9" t="n">
        <v>1</v>
      </c>
      <c r="H12" s="10" t="n">
        <v>1.424223431272292</v>
      </c>
      <c r="I12" s="11" t="n">
        <v>1</v>
      </c>
      <c r="J12" s="8" t="n">
        <v>154</v>
      </c>
      <c r="K12" s="10" t="n">
        <v>0.3864084244144289</v>
      </c>
      <c r="L12" s="10" t="n">
        <v>0</v>
      </c>
    </row>
    <row r="13">
      <c r="A13" s="7" t="n">
        <v>1</v>
      </c>
      <c r="B13" s="7" t="n">
        <v>12</v>
      </c>
      <c r="C13" s="7" t="n">
        <v>8</v>
      </c>
      <c r="D13" s="7" t="n">
        <v>1</v>
      </c>
      <c r="E13" s="7" t="inlineStr">
        <is>
          <t>Emergent (EA)</t>
        </is>
      </c>
      <c r="F13" s="8" t="n">
        <v>247</v>
      </c>
      <c r="G13" s="9" t="n">
        <v>1</v>
      </c>
      <c r="H13" s="10" t="n">
        <v>0.4880659304372576</v>
      </c>
      <c r="I13" s="11" t="n">
        <v>1</v>
      </c>
      <c r="J13" s="8" t="n">
        <v>247</v>
      </c>
      <c r="K13" s="10" t="n">
        <v>0.4503320905076135</v>
      </c>
      <c r="L13" s="10" t="n">
        <v>0</v>
      </c>
    </row>
    <row r="14">
      <c r="A14" s="7" t="n">
        <v>1</v>
      </c>
      <c r="B14" s="7" t="n">
        <v>13</v>
      </c>
      <c r="C14" s="7" t="n">
        <v>8</v>
      </c>
      <c r="D14" s="7" t="n">
        <v>1</v>
      </c>
      <c r="E14" s="7" t="inlineStr">
        <is>
          <t>Emergent (EA)</t>
        </is>
      </c>
      <c r="F14" s="8" t="n">
        <v>242</v>
      </c>
      <c r="G14" s="9" t="n">
        <v>1</v>
      </c>
      <c r="H14" s="10" t="n">
        <v>0.5113702238515558</v>
      </c>
      <c r="I14" s="11" t="n">
        <v>1</v>
      </c>
      <c r="J14" s="8" t="n">
        <v>242</v>
      </c>
      <c r="K14" s="10" t="n">
        <v>0.4330137813093338</v>
      </c>
      <c r="L14" s="10" t="n">
        <v>0</v>
      </c>
    </row>
    <row r="15">
      <c r="A15" s="7" t="n">
        <v>1</v>
      </c>
      <c r="B15" s="7" t="n">
        <v>14</v>
      </c>
      <c r="C15" s="7" t="n">
        <v>8</v>
      </c>
      <c r="D15" s="7" t="n">
        <v>1</v>
      </c>
      <c r="E15" s="7" t="inlineStr">
        <is>
          <t>Emergent (EA)</t>
        </is>
      </c>
      <c r="F15" s="8" t="n">
        <v>261</v>
      </c>
      <c r="G15" s="9" t="n">
        <v>1</v>
      </c>
      <c r="H15" s="10" t="n">
        <v>0.4773345263290838</v>
      </c>
      <c r="I15" s="11" t="n">
        <v>1</v>
      </c>
      <c r="J15" s="8" t="n">
        <v>261</v>
      </c>
      <c r="K15" s="10" t="n">
        <v>0.4359033220528209</v>
      </c>
      <c r="L15" s="10" t="n">
        <v>0</v>
      </c>
    </row>
    <row r="16">
      <c r="A16" s="7" t="n">
        <v>1</v>
      </c>
      <c r="B16" s="7" t="n">
        <v>15</v>
      </c>
      <c r="C16" s="7" t="n">
        <v>8</v>
      </c>
      <c r="D16" s="7" t="n">
        <v>1</v>
      </c>
      <c r="E16" s="7" t="inlineStr">
        <is>
          <t>Emergent (EA)</t>
        </is>
      </c>
      <c r="F16" s="8" t="n">
        <v>96</v>
      </c>
      <c r="G16" s="9" t="n">
        <v>1</v>
      </c>
      <c r="H16" s="10" t="n">
        <v>0.4828306150846923</v>
      </c>
      <c r="I16" s="11" t="n">
        <v>1</v>
      </c>
      <c r="J16" s="8" t="n">
        <v>96</v>
      </c>
      <c r="K16" s="10" t="n">
        <v>0.4657784585472446</v>
      </c>
      <c r="L16" s="10" t="n">
        <v>0</v>
      </c>
    </row>
    <row r="17">
      <c r="A17" s="7" t="n">
        <v>1</v>
      </c>
      <c r="B17" s="7" t="n">
        <v>16</v>
      </c>
      <c r="C17" s="7" t="n">
        <v>8</v>
      </c>
      <c r="D17" s="7" t="n">
        <v>1</v>
      </c>
      <c r="E17" s="7" t="inlineStr">
        <is>
          <t>Emergent (EA)</t>
        </is>
      </c>
      <c r="F17" s="8" t="n">
        <v>121</v>
      </c>
      <c r="G17" s="9" t="n">
        <v>1</v>
      </c>
      <c r="H17" s="10" t="n">
        <v>0.5278322243564899</v>
      </c>
      <c r="I17" s="11" t="n">
        <v>1</v>
      </c>
      <c r="J17" s="8" t="n">
        <v>121</v>
      </c>
      <c r="K17" s="10" t="n">
        <v>0.4736093692773293</v>
      </c>
      <c r="L17" s="10" t="n">
        <v>0</v>
      </c>
    </row>
    <row r="18">
      <c r="A18" s="7" t="n">
        <v>1</v>
      </c>
      <c r="B18" s="7" t="n">
        <v>17</v>
      </c>
      <c r="C18" s="7" t="n">
        <v>8</v>
      </c>
      <c r="D18" s="7" t="n">
        <v>1</v>
      </c>
      <c r="E18" s="7" t="inlineStr">
        <is>
          <t>Emergent (EA)</t>
        </is>
      </c>
      <c r="F18" s="8" t="n">
        <v>157</v>
      </c>
      <c r="G18" s="9" t="n">
        <v>1</v>
      </c>
      <c r="H18" s="10" t="n">
        <v>0.5109145343838195</v>
      </c>
      <c r="I18" s="11" t="n">
        <v>1</v>
      </c>
      <c r="J18" s="8" t="n">
        <v>157</v>
      </c>
      <c r="K18" s="10" t="n">
        <v>0.4550025082320218</v>
      </c>
      <c r="L18" s="10" t="n">
        <v>0</v>
      </c>
    </row>
    <row r="19">
      <c r="A19" s="7" t="n">
        <v>1</v>
      </c>
      <c r="B19" s="7" t="n">
        <v>18</v>
      </c>
      <c r="C19" s="7" t="n">
        <v>8</v>
      </c>
      <c r="D19" s="7" t="n">
        <v>1</v>
      </c>
      <c r="E19" s="7" t="inlineStr">
        <is>
          <t>Emergent (EA)</t>
        </is>
      </c>
      <c r="F19" s="8" t="n">
        <v>225</v>
      </c>
      <c r="G19" s="9" t="n">
        <v>1</v>
      </c>
      <c r="H19" s="10" t="n">
        <v>0.5196415287945052</v>
      </c>
      <c r="I19" s="11" t="n">
        <v>1</v>
      </c>
      <c r="J19" s="8" t="n">
        <v>225</v>
      </c>
      <c r="K19" s="10" t="n">
        <v>0.4185881094975608</v>
      </c>
      <c r="L19" s="10" t="n">
        <v>0</v>
      </c>
    </row>
    <row r="20">
      <c r="A20" s="7" t="n">
        <v>1</v>
      </c>
      <c r="B20" s="7" t="n">
        <v>19</v>
      </c>
      <c r="C20" s="7" t="n">
        <v>8</v>
      </c>
      <c r="D20" s="7" t="n">
        <v>1</v>
      </c>
      <c r="E20" s="7" t="inlineStr">
        <is>
          <t>Emergent (EA)</t>
        </is>
      </c>
      <c r="F20" s="8" t="n">
        <v>76</v>
      </c>
      <c r="G20" s="9" t="n">
        <v>1</v>
      </c>
      <c r="H20" s="10" t="n">
        <v>0.613783696202543</v>
      </c>
      <c r="I20" s="11" t="n">
        <v>1</v>
      </c>
      <c r="J20" s="8" t="n">
        <v>76</v>
      </c>
      <c r="K20" s="10" t="n">
        <v>0.4946750017290841</v>
      </c>
      <c r="L20" s="10" t="n">
        <v>0</v>
      </c>
    </row>
    <row r="21">
      <c r="A21" s="7" t="n">
        <v>1</v>
      </c>
      <c r="B21" s="7" t="n">
        <v>20</v>
      </c>
      <c r="C21" s="7" t="n">
        <v>8</v>
      </c>
      <c r="D21" s="7" t="n">
        <v>1</v>
      </c>
      <c r="E21" s="7" t="inlineStr">
        <is>
          <t>Emergent (EA)</t>
        </is>
      </c>
      <c r="F21" s="8" t="n">
        <v>158</v>
      </c>
      <c r="G21" s="9" t="n">
        <v>1</v>
      </c>
      <c r="H21" s="10" t="n">
        <v>0.4525481411184373</v>
      </c>
      <c r="I21" s="11" t="n">
        <v>1</v>
      </c>
      <c r="J21" s="8" t="n">
        <v>158</v>
      </c>
      <c r="K21" s="10" t="n">
        <v>0.3642337546124451</v>
      </c>
      <c r="L21" s="10" t="n">
        <v>0</v>
      </c>
    </row>
    <row r="22">
      <c r="A22" s="7" t="n">
        <v>1</v>
      </c>
      <c r="B22" s="7" t="n">
        <v>21</v>
      </c>
      <c r="C22" s="7" t="n">
        <v>8</v>
      </c>
      <c r="D22" s="7" t="n">
        <v>1</v>
      </c>
      <c r="E22" s="7" t="inlineStr">
        <is>
          <t>Emergent (EA)</t>
        </is>
      </c>
      <c r="F22" s="8" t="n">
        <v>42</v>
      </c>
      <c r="G22" s="9" t="n">
        <v>1</v>
      </c>
      <c r="H22" s="10" t="n">
        <v>0.5315853857345779</v>
      </c>
      <c r="I22" s="11" t="n">
        <v>1</v>
      </c>
      <c r="J22" s="8" t="n">
        <v>42</v>
      </c>
      <c r="K22" s="10" t="n">
        <v>0.4238016807885132</v>
      </c>
      <c r="L22" s="10" t="n">
        <v>0</v>
      </c>
    </row>
    <row r="23">
      <c r="A23" s="7" t="n">
        <v>1</v>
      </c>
      <c r="B23" s="7" t="n">
        <v>22</v>
      </c>
      <c r="C23" s="7" t="n">
        <v>8</v>
      </c>
      <c r="D23" s="7" t="n">
        <v>1</v>
      </c>
      <c r="E23" s="7" t="inlineStr">
        <is>
          <t>Emergent (EA)</t>
        </is>
      </c>
      <c r="F23" s="8" t="n">
        <v>64</v>
      </c>
      <c r="G23" s="9" t="n">
        <v>1</v>
      </c>
      <c r="H23" s="10" t="n">
        <v>0.6919866906168168</v>
      </c>
      <c r="I23" s="11" t="n">
        <v>1</v>
      </c>
      <c r="J23" s="8" t="n">
        <v>64</v>
      </c>
      <c r="K23" s="10" t="n">
        <v>0.4583523411997908</v>
      </c>
      <c r="L23" s="10" t="n">
        <v>0</v>
      </c>
    </row>
    <row r="24">
      <c r="A24" s="7" t="n">
        <v>1</v>
      </c>
      <c r="B24" s="7" t="n">
        <v>23</v>
      </c>
      <c r="C24" s="7" t="n">
        <v>8</v>
      </c>
      <c r="D24" s="7" t="n">
        <v>1</v>
      </c>
      <c r="E24" s="7" t="inlineStr">
        <is>
          <t>Emergent (EA)</t>
        </is>
      </c>
      <c r="F24" s="8" t="n">
        <v>150</v>
      </c>
      <c r="G24" s="9" t="n">
        <v>1</v>
      </c>
      <c r="H24" s="10" t="n">
        <v>0.5318305511757407</v>
      </c>
      <c r="I24" s="11" t="n">
        <v>1</v>
      </c>
      <c r="J24" s="8" t="n">
        <v>150</v>
      </c>
      <c r="K24" s="10" t="n">
        <v>0.3795423525152741</v>
      </c>
      <c r="L24" s="10" t="n">
        <v>0</v>
      </c>
    </row>
    <row r="25">
      <c r="A25" s="7" t="n">
        <v>1</v>
      </c>
      <c r="B25" s="7" t="n">
        <v>24</v>
      </c>
      <c r="C25" s="7" t="n">
        <v>8</v>
      </c>
      <c r="D25" s="7" t="n">
        <v>1</v>
      </c>
      <c r="E25" s="7" t="inlineStr">
        <is>
          <t>Emergent (EA)</t>
        </is>
      </c>
      <c r="F25" s="8" t="n">
        <v>248</v>
      </c>
      <c r="G25" s="9" t="n">
        <v>1</v>
      </c>
      <c r="H25" s="10" t="n">
        <v>0.4996654708746263</v>
      </c>
      <c r="I25" s="11" t="n">
        <v>1</v>
      </c>
      <c r="J25" s="8" t="n">
        <v>248</v>
      </c>
      <c r="K25" s="10" t="n">
        <v>0.501172881014906</v>
      </c>
      <c r="L25" s="10" t="n">
        <v>0</v>
      </c>
    </row>
    <row r="26">
      <c r="A26" s="7" t="n">
        <v>1</v>
      </c>
      <c r="B26" s="7" t="n">
        <v>25</v>
      </c>
      <c r="C26" s="7" t="n">
        <v>8</v>
      </c>
      <c r="D26" s="7" t="n">
        <v>1</v>
      </c>
      <c r="E26" s="7" t="inlineStr">
        <is>
          <t>Emergent (EA)</t>
        </is>
      </c>
      <c r="F26" s="8" t="n">
        <v>141</v>
      </c>
      <c r="G26" s="9" t="n">
        <v>1</v>
      </c>
      <c r="H26" s="10" t="n">
        <v>0.548533479930106</v>
      </c>
      <c r="I26" s="11" t="n">
        <v>1</v>
      </c>
      <c r="J26" s="8" t="n">
        <v>141</v>
      </c>
      <c r="K26" s="10" t="n">
        <v>0.3823054956921685</v>
      </c>
      <c r="L26" s="10" t="n">
        <v>0</v>
      </c>
    </row>
    <row r="27">
      <c r="A27" s="7" t="n">
        <v>1</v>
      </c>
      <c r="B27" s="7" t="n">
        <v>26</v>
      </c>
      <c r="C27" s="7" t="n">
        <v>8</v>
      </c>
      <c r="D27" s="7" t="n">
        <v>1</v>
      </c>
      <c r="E27" s="7" t="inlineStr">
        <is>
          <t>Emergent (EA)</t>
        </is>
      </c>
      <c r="F27" s="8" t="n">
        <v>104</v>
      </c>
      <c r="G27" s="9" t="n">
        <v>1</v>
      </c>
      <c r="H27" s="10" t="n">
        <v>0.496448319680472</v>
      </c>
      <c r="I27" s="11" t="n">
        <v>1</v>
      </c>
      <c r="J27" s="8" t="n">
        <v>104</v>
      </c>
      <c r="K27" s="10" t="n">
        <v>0.4282754340961711</v>
      </c>
      <c r="L27" s="10" t="n">
        <v>0</v>
      </c>
    </row>
    <row r="28">
      <c r="A28" s="7" t="n">
        <v>1</v>
      </c>
      <c r="B28" s="7" t="n">
        <v>27</v>
      </c>
      <c r="C28" s="7" t="n">
        <v>8</v>
      </c>
      <c r="D28" s="7" t="n">
        <v>1</v>
      </c>
      <c r="E28" s="7" t="inlineStr">
        <is>
          <t>Emergent (EA)</t>
        </is>
      </c>
      <c r="F28" s="8" t="n">
        <v>114</v>
      </c>
      <c r="G28" s="9" t="n">
        <v>1</v>
      </c>
      <c r="H28" s="10" t="n">
        <v>0.5305231309449996</v>
      </c>
      <c r="I28" s="11" t="n">
        <v>1</v>
      </c>
      <c r="J28" s="8" t="n">
        <v>114</v>
      </c>
      <c r="K28" s="10" t="n">
        <v>0.4317259921950153</v>
      </c>
      <c r="L28" s="10" t="n">
        <v>0</v>
      </c>
    </row>
    <row r="29">
      <c r="A29" s="7" t="n">
        <v>1</v>
      </c>
      <c r="B29" s="7" t="n">
        <v>28</v>
      </c>
      <c r="C29" s="7" t="n">
        <v>8</v>
      </c>
      <c r="D29" s="7" t="n">
        <v>1</v>
      </c>
      <c r="E29" s="7" t="inlineStr">
        <is>
          <t>Emergent (EA)</t>
        </is>
      </c>
      <c r="F29" s="8" t="n">
        <v>71</v>
      </c>
      <c r="G29" s="9" t="n">
        <v>1</v>
      </c>
      <c r="H29" s="10" t="n">
        <v>0.4944657020440155</v>
      </c>
      <c r="I29" s="11" t="n">
        <v>1</v>
      </c>
      <c r="J29" s="8" t="n">
        <v>71</v>
      </c>
      <c r="K29" s="10" t="n">
        <v>0.3853868861169837</v>
      </c>
      <c r="L29" s="10" t="n">
        <v>0</v>
      </c>
    </row>
    <row r="30">
      <c r="A30" s="7" t="n">
        <v>1</v>
      </c>
      <c r="B30" s="7" t="n">
        <v>29</v>
      </c>
      <c r="C30" s="7" t="n">
        <v>8</v>
      </c>
      <c r="D30" s="7" t="n">
        <v>1</v>
      </c>
      <c r="E30" s="7" t="inlineStr">
        <is>
          <t>Emergent (EA)</t>
        </is>
      </c>
      <c r="F30" s="8" t="n">
        <v>69</v>
      </c>
      <c r="G30" s="9" t="n">
        <v>1</v>
      </c>
      <c r="H30" s="10" t="n">
        <v>0.4940888992077316</v>
      </c>
      <c r="I30" s="11" t="n">
        <v>1</v>
      </c>
      <c r="J30" s="8" t="n">
        <v>69</v>
      </c>
      <c r="K30" s="10" t="n">
        <v>0.5007544184978565</v>
      </c>
      <c r="L30" s="10" t="n">
        <v>0</v>
      </c>
    </row>
    <row r="31">
      <c r="A31" s="7" t="n">
        <v>1</v>
      </c>
      <c r="B31" s="7" t="n">
        <v>30</v>
      </c>
      <c r="C31" s="7" t="n">
        <v>8</v>
      </c>
      <c r="D31" s="7" t="n">
        <v>1</v>
      </c>
      <c r="E31" s="7" t="inlineStr">
        <is>
          <t>Emergent (EA)</t>
        </is>
      </c>
      <c r="F31" s="8" t="n">
        <v>62</v>
      </c>
      <c r="G31" s="9" t="n">
        <v>1</v>
      </c>
      <c r="H31" s="10" t="n">
        <v>0.5487455452153271</v>
      </c>
      <c r="I31" s="11" t="n">
        <v>1</v>
      </c>
      <c r="J31" s="8" t="n">
        <v>62</v>
      </c>
      <c r="K31" s="10" t="n">
        <v>0.4580837341269536</v>
      </c>
      <c r="L31" s="10" t="n">
        <v>0</v>
      </c>
    </row>
    <row r="32">
      <c r="A32" s="7" t="n">
        <v>2</v>
      </c>
      <c r="B32" s="7" t="n">
        <v>1</v>
      </c>
      <c r="C32" s="7" t="n">
        <v>8</v>
      </c>
      <c r="D32" s="7" t="n">
        <v>2</v>
      </c>
      <c r="E32" s="7" t="inlineStr">
        <is>
          <t>Emergent (EA)</t>
        </is>
      </c>
      <c r="F32" s="8" t="n">
        <v>164</v>
      </c>
      <c r="G32" s="9" t="n">
        <v>1</v>
      </c>
      <c r="H32" s="10" t="n">
        <v>0.543726391611203</v>
      </c>
      <c r="I32" s="11" t="n">
        <v>2</v>
      </c>
      <c r="J32" s="8" t="n">
        <v>65</v>
      </c>
      <c r="K32" s="10" t="n">
        <v>0.4702785194697632</v>
      </c>
      <c r="L32" s="10" t="n">
        <v>0</v>
      </c>
    </row>
    <row r="33">
      <c r="A33" s="7" t="n">
        <v>2</v>
      </c>
      <c r="B33" s="7" t="n">
        <v>2</v>
      </c>
      <c r="C33" s="7" t="n">
        <v>8</v>
      </c>
      <c r="D33" s="7" t="n">
        <v>2</v>
      </c>
      <c r="E33" s="7" t="inlineStr">
        <is>
          <t>Emergent (EA)</t>
        </is>
      </c>
      <c r="F33" s="8" t="n">
        <v>69</v>
      </c>
      <c r="G33" s="9" t="n">
        <v>1</v>
      </c>
      <c r="H33" s="10" t="n">
        <v>0.5770452659170188</v>
      </c>
      <c r="I33" s="11" t="n">
        <v>2</v>
      </c>
      <c r="J33" s="8" t="n">
        <v>41</v>
      </c>
      <c r="K33" s="10" t="n">
        <v>0.4588771330799694</v>
      </c>
      <c r="L33" s="10" t="n">
        <v>0.01449275362318841</v>
      </c>
    </row>
    <row r="34">
      <c r="A34" s="7" t="n">
        <v>2</v>
      </c>
      <c r="B34" s="7" t="n">
        <v>3</v>
      </c>
      <c r="C34" s="7" t="n">
        <v>8</v>
      </c>
      <c r="D34" s="7" t="n">
        <v>2</v>
      </c>
      <c r="E34" s="7" t="inlineStr">
        <is>
          <t>Emergent (EA)</t>
        </is>
      </c>
      <c r="F34" s="8" t="n">
        <v>69</v>
      </c>
      <c r="G34" s="9" t="n">
        <v>1</v>
      </c>
      <c r="H34" s="10" t="n">
        <v>0.5555177402584052</v>
      </c>
      <c r="I34" s="11" t="n">
        <v>2</v>
      </c>
      <c r="J34" s="8" t="n">
        <v>33</v>
      </c>
      <c r="K34" s="10" t="n">
        <v>0.4881215887778595</v>
      </c>
      <c r="L34" s="10" t="n">
        <v>0.01811594202898551</v>
      </c>
    </row>
    <row r="35">
      <c r="A35" s="7" t="n">
        <v>2</v>
      </c>
      <c r="B35" s="7" t="n">
        <v>4</v>
      </c>
      <c r="C35" s="7" t="n">
        <v>8</v>
      </c>
      <c r="D35" s="7" t="n">
        <v>2</v>
      </c>
      <c r="E35" s="7" t="inlineStr">
        <is>
          <t>Emergent (EA)</t>
        </is>
      </c>
      <c r="F35" s="8" t="n">
        <v>172</v>
      </c>
      <c r="G35" s="9" t="n">
        <v>1</v>
      </c>
      <c r="H35" s="10" t="n">
        <v>0.4818782812585922</v>
      </c>
      <c r="I35" s="11" t="n">
        <v>2</v>
      </c>
      <c r="J35" s="8" t="n">
        <v>80</v>
      </c>
      <c r="K35" s="10" t="n">
        <v>0.4963527880189617</v>
      </c>
      <c r="L35" s="10" t="n">
        <v>0</v>
      </c>
    </row>
    <row r="36">
      <c r="A36" s="7" t="n">
        <v>2</v>
      </c>
      <c r="B36" s="7" t="n">
        <v>5</v>
      </c>
      <c r="C36" s="7" t="n">
        <v>8</v>
      </c>
      <c r="D36" s="7" t="n">
        <v>2</v>
      </c>
      <c r="E36" s="7" t="inlineStr">
        <is>
          <t>Emergent (EA)</t>
        </is>
      </c>
      <c r="F36" s="8" t="n">
        <v>77</v>
      </c>
      <c r="G36" s="9" t="n">
        <v>1</v>
      </c>
      <c r="H36" s="10" t="n">
        <v>0.6032399593020482</v>
      </c>
      <c r="I36" s="11" t="n">
        <v>2</v>
      </c>
      <c r="J36" s="8" t="n">
        <v>68</v>
      </c>
      <c r="K36" s="10" t="n">
        <v>0.7249816740796136</v>
      </c>
      <c r="L36" s="10" t="n">
        <v>0.01136363636363636</v>
      </c>
    </row>
    <row r="37">
      <c r="A37" s="7" t="n">
        <v>2</v>
      </c>
      <c r="B37" s="7" t="n">
        <v>6</v>
      </c>
      <c r="C37" s="7" t="n">
        <v>8</v>
      </c>
      <c r="D37" s="7" t="n">
        <v>2</v>
      </c>
      <c r="E37" s="7" t="inlineStr">
        <is>
          <t>Emergent (EA)</t>
        </is>
      </c>
      <c r="F37" s="8" t="n">
        <v>162</v>
      </c>
      <c r="G37" s="9" t="n">
        <v>1</v>
      </c>
      <c r="H37" s="10" t="n">
        <v>0.5518577419334313</v>
      </c>
      <c r="I37" s="11" t="n">
        <v>2</v>
      </c>
      <c r="J37" s="8" t="n">
        <v>95</v>
      </c>
      <c r="K37" s="10" t="n">
        <v>0.4689802363763118</v>
      </c>
      <c r="L37" s="10" t="n">
        <v>0</v>
      </c>
    </row>
    <row r="38">
      <c r="A38" s="7" t="n">
        <v>2</v>
      </c>
      <c r="B38" s="7" t="n">
        <v>7</v>
      </c>
      <c r="C38" s="7" t="n">
        <v>8</v>
      </c>
      <c r="D38" s="7" t="n">
        <v>2</v>
      </c>
      <c r="E38" s="7" t="inlineStr">
        <is>
          <t>Emergent (EA)</t>
        </is>
      </c>
      <c r="F38" s="8" t="n">
        <v>118</v>
      </c>
      <c r="G38" s="9" t="n">
        <v>1</v>
      </c>
      <c r="H38" s="10" t="n">
        <v>0.5172485099159598</v>
      </c>
      <c r="I38" s="11" t="n">
        <v>2</v>
      </c>
      <c r="J38" s="8" t="n">
        <v>58</v>
      </c>
      <c r="K38" s="10" t="n">
        <v>0.454437453719808</v>
      </c>
      <c r="L38" s="10" t="n">
        <v>0</v>
      </c>
    </row>
    <row r="39">
      <c r="A39" s="7" t="n">
        <v>2</v>
      </c>
      <c r="B39" s="7" t="n">
        <v>8</v>
      </c>
      <c r="C39" s="7" t="n">
        <v>8</v>
      </c>
      <c r="D39" s="7" t="n">
        <v>2</v>
      </c>
      <c r="E39" s="7" t="inlineStr">
        <is>
          <t>Emergent (EA)</t>
        </is>
      </c>
      <c r="F39" s="8" t="n">
        <v>167</v>
      </c>
      <c r="G39" s="9" t="n">
        <v>1</v>
      </c>
      <c r="H39" s="10" t="n">
        <v>0.5178662070256288</v>
      </c>
      <c r="I39" s="11" t="n">
        <v>2</v>
      </c>
      <c r="J39" s="8" t="n">
        <v>115</v>
      </c>
      <c r="K39" s="10" t="n">
        <v>0.450983348850593</v>
      </c>
      <c r="L39" s="10" t="n">
        <v>0.0007485029940119761</v>
      </c>
    </row>
    <row r="40">
      <c r="A40" s="7" t="n">
        <v>2</v>
      </c>
      <c r="B40" s="7" t="n">
        <v>9</v>
      </c>
      <c r="C40" s="7" t="n">
        <v>8</v>
      </c>
      <c r="D40" s="7" t="n">
        <v>2</v>
      </c>
      <c r="E40" s="7" t="inlineStr">
        <is>
          <t>Emergent (EA)</t>
        </is>
      </c>
      <c r="F40" s="8" t="n">
        <v>90</v>
      </c>
      <c r="G40" s="9" t="n">
        <v>1</v>
      </c>
      <c r="H40" s="10" t="n">
        <v>0.7890668858162458</v>
      </c>
      <c r="I40" s="11" t="n">
        <v>2</v>
      </c>
      <c r="J40" s="8" t="n">
        <v>22</v>
      </c>
      <c r="K40" s="10" t="n">
        <v>0.459230153921197</v>
      </c>
      <c r="L40" s="10" t="n">
        <v>0.0125</v>
      </c>
    </row>
    <row r="41">
      <c r="A41" s="7" t="n">
        <v>2</v>
      </c>
      <c r="B41" s="7" t="n">
        <v>10</v>
      </c>
      <c r="C41" s="7" t="n">
        <v>8</v>
      </c>
      <c r="D41" s="7" t="n">
        <v>2</v>
      </c>
      <c r="E41" s="7" t="inlineStr">
        <is>
          <t>Emergent (EA)</t>
        </is>
      </c>
      <c r="F41" s="8" t="n">
        <v>133</v>
      </c>
      <c r="G41" s="9" t="n">
        <v>1</v>
      </c>
      <c r="H41" s="10" t="n">
        <v>0.6774930129867196</v>
      </c>
      <c r="I41" s="11" t="n">
        <v>2</v>
      </c>
      <c r="J41" s="8" t="n">
        <v>55</v>
      </c>
      <c r="K41" s="10" t="n">
        <v>0.4514151611992112</v>
      </c>
      <c r="L41" s="10" t="n">
        <v>0.0112781954887218</v>
      </c>
    </row>
    <row r="42">
      <c r="A42" s="7" t="n">
        <v>2</v>
      </c>
      <c r="B42" s="7" t="n">
        <v>11</v>
      </c>
      <c r="C42" s="7" t="n">
        <v>8</v>
      </c>
      <c r="D42" s="7" t="n">
        <v>2</v>
      </c>
      <c r="E42" s="7" t="inlineStr">
        <is>
          <t>Emergent (EA)</t>
        </is>
      </c>
      <c r="F42" s="8" t="n">
        <v>240</v>
      </c>
      <c r="G42" s="9" t="n">
        <v>1</v>
      </c>
      <c r="H42" s="10" t="n">
        <v>1.036514529119407</v>
      </c>
      <c r="I42" s="11" t="n">
        <v>2</v>
      </c>
      <c r="J42" s="8" t="n">
        <v>78</v>
      </c>
      <c r="K42" s="10" t="n">
        <v>1.419940505000751</v>
      </c>
      <c r="L42" s="10" t="n">
        <v>0.008854166666666666</v>
      </c>
    </row>
    <row r="43">
      <c r="A43" s="7" t="n">
        <v>2</v>
      </c>
      <c r="B43" s="7" t="n">
        <v>12</v>
      </c>
      <c r="C43" s="7" t="n">
        <v>8</v>
      </c>
      <c r="D43" s="7" t="n">
        <v>2</v>
      </c>
      <c r="E43" s="7" t="inlineStr">
        <is>
          <t>Emergent (EA)</t>
        </is>
      </c>
      <c r="F43" s="8" t="n">
        <v>301</v>
      </c>
      <c r="G43" s="9" t="n">
        <v>1</v>
      </c>
      <c r="H43" s="10" t="n">
        <v>0.4874353613878645</v>
      </c>
      <c r="I43" s="11" t="n">
        <v>2</v>
      </c>
      <c r="J43" s="8" t="n">
        <v>258</v>
      </c>
      <c r="K43" s="10" t="n">
        <v>0.399049408336641</v>
      </c>
      <c r="L43" s="10" t="n">
        <v>0</v>
      </c>
    </row>
    <row r="44">
      <c r="A44" s="7" t="n">
        <v>2</v>
      </c>
      <c r="B44" s="7" t="n">
        <v>13</v>
      </c>
      <c r="C44" s="7" t="n">
        <v>8</v>
      </c>
      <c r="D44" s="7" t="n">
        <v>2</v>
      </c>
      <c r="E44" s="7" t="inlineStr">
        <is>
          <t>Emergent (EA)</t>
        </is>
      </c>
      <c r="F44" s="8" t="n">
        <v>125</v>
      </c>
      <c r="G44" s="9" t="n">
        <v>1</v>
      </c>
      <c r="H44" s="10" t="n">
        <v>0.5462620967333233</v>
      </c>
      <c r="I44" s="11" t="n">
        <v>2</v>
      </c>
      <c r="J44" s="8" t="n">
        <v>52</v>
      </c>
      <c r="K44" s="10" t="n">
        <v>0.4365339843990989</v>
      </c>
      <c r="L44" s="10" t="n">
        <v>0.008</v>
      </c>
    </row>
    <row r="45">
      <c r="A45" s="7" t="n">
        <v>2</v>
      </c>
      <c r="B45" s="7" t="n">
        <v>14</v>
      </c>
      <c r="C45" s="7" t="n">
        <v>8</v>
      </c>
      <c r="D45" s="7" t="n">
        <v>2</v>
      </c>
      <c r="E45" s="7" t="inlineStr">
        <is>
          <t>Emergent (EA)</t>
        </is>
      </c>
      <c r="F45" s="8" t="n">
        <v>240</v>
      </c>
      <c r="G45" s="9" t="n">
        <v>1</v>
      </c>
      <c r="H45" s="10" t="n">
        <v>0.5387489679626115</v>
      </c>
      <c r="I45" s="11" t="n">
        <v>2</v>
      </c>
      <c r="J45" s="8" t="n">
        <v>58</v>
      </c>
      <c r="K45" s="10" t="n">
        <v>0.4833520855059407</v>
      </c>
      <c r="L45" s="10" t="n">
        <v>0.015625</v>
      </c>
    </row>
    <row r="46">
      <c r="A46" s="7" t="n">
        <v>2</v>
      </c>
      <c r="B46" s="7" t="n">
        <v>15</v>
      </c>
      <c r="C46" s="7" t="n">
        <v>8</v>
      </c>
      <c r="D46" s="7" t="n">
        <v>2</v>
      </c>
      <c r="E46" s="7" t="inlineStr">
        <is>
          <t>Emergent (EA)</t>
        </is>
      </c>
      <c r="F46" s="8" t="n">
        <v>289</v>
      </c>
      <c r="G46" s="9" t="n">
        <v>1</v>
      </c>
      <c r="H46" s="10" t="n">
        <v>0.5502322908851153</v>
      </c>
      <c r="I46" s="11" t="n">
        <v>2</v>
      </c>
      <c r="J46" s="8" t="n">
        <v>80</v>
      </c>
      <c r="K46" s="10" t="n">
        <v>0.4539766073157248</v>
      </c>
      <c r="L46" s="10" t="n">
        <v>0.0129757785467128</v>
      </c>
    </row>
    <row r="47">
      <c r="A47" s="7" t="n">
        <v>2</v>
      </c>
      <c r="B47" s="7" t="n">
        <v>16</v>
      </c>
      <c r="C47" s="7" t="n">
        <v>8</v>
      </c>
      <c r="D47" s="7" t="n">
        <v>2</v>
      </c>
      <c r="E47" s="7" t="inlineStr">
        <is>
          <t>Emergent (EA)</t>
        </is>
      </c>
      <c r="F47" s="8" t="n">
        <v>181</v>
      </c>
      <c r="G47" s="9" t="n">
        <v>1</v>
      </c>
      <c r="H47" s="10" t="n">
        <v>0.5031250299421447</v>
      </c>
      <c r="I47" s="11" t="n">
        <v>2</v>
      </c>
      <c r="J47" s="8" t="n">
        <v>102</v>
      </c>
      <c r="K47" s="10" t="n">
        <v>0.443908013922132</v>
      </c>
      <c r="L47" s="10" t="n">
        <v>0.004834254143646409</v>
      </c>
    </row>
    <row r="48">
      <c r="A48" s="7" t="n">
        <v>2</v>
      </c>
      <c r="B48" s="7" t="n">
        <v>17</v>
      </c>
      <c r="C48" s="7" t="n">
        <v>8</v>
      </c>
      <c r="D48" s="7" t="n">
        <v>2</v>
      </c>
      <c r="E48" s="7" t="inlineStr">
        <is>
          <t>Emergent (EA)</t>
        </is>
      </c>
      <c r="F48" s="8" t="n">
        <v>171</v>
      </c>
      <c r="G48" s="9" t="n">
        <v>1</v>
      </c>
      <c r="H48" s="10" t="n">
        <v>0.503773510599605</v>
      </c>
      <c r="I48" s="11" t="n">
        <v>2</v>
      </c>
      <c r="J48" s="8" t="n">
        <v>50</v>
      </c>
      <c r="K48" s="10" t="n">
        <v>0.5061960879729142</v>
      </c>
      <c r="L48" s="10" t="n">
        <v>0.005847953216374269</v>
      </c>
    </row>
    <row r="49">
      <c r="A49" s="7" t="n">
        <v>2</v>
      </c>
      <c r="B49" s="7" t="n">
        <v>18</v>
      </c>
      <c r="C49" s="7" t="n">
        <v>8</v>
      </c>
      <c r="D49" s="7" t="n">
        <v>2</v>
      </c>
      <c r="E49" s="7" t="inlineStr">
        <is>
          <t>Emergent (EA)</t>
        </is>
      </c>
      <c r="F49" s="8" t="n">
        <v>139</v>
      </c>
      <c r="G49" s="9" t="n">
        <v>1</v>
      </c>
      <c r="H49" s="10" t="n">
        <v>0.4890778238840257</v>
      </c>
      <c r="I49" s="11" t="n">
        <v>2</v>
      </c>
      <c r="J49" s="8" t="n">
        <v>51</v>
      </c>
      <c r="K49" s="10" t="n">
        <v>0.4222598643359171</v>
      </c>
      <c r="L49" s="10" t="n">
        <v>0</v>
      </c>
    </row>
    <row r="50">
      <c r="A50" s="7" t="n">
        <v>2</v>
      </c>
      <c r="B50" s="7" t="n">
        <v>19</v>
      </c>
      <c r="C50" s="7" t="n">
        <v>8</v>
      </c>
      <c r="D50" s="7" t="n">
        <v>2</v>
      </c>
      <c r="E50" s="7" t="inlineStr">
        <is>
          <t>Emergent (EA)</t>
        </is>
      </c>
      <c r="F50" s="8" t="n">
        <v>135</v>
      </c>
      <c r="G50" s="9" t="n">
        <v>1</v>
      </c>
      <c r="H50" s="10" t="n">
        <v>0.5430783122420858</v>
      </c>
      <c r="I50" s="11" t="n">
        <v>2</v>
      </c>
      <c r="J50" s="8" t="n">
        <v>53</v>
      </c>
      <c r="K50" s="10" t="n">
        <v>0.4905187925874169</v>
      </c>
      <c r="L50" s="10" t="n">
        <v>0</v>
      </c>
    </row>
    <row r="51">
      <c r="A51" s="7" t="n">
        <v>2</v>
      </c>
      <c r="B51" s="7" t="n">
        <v>20</v>
      </c>
      <c r="C51" s="7" t="n">
        <v>8</v>
      </c>
      <c r="D51" s="7" t="n">
        <v>2</v>
      </c>
      <c r="E51" s="7" t="inlineStr">
        <is>
          <t>Emergent (EA)</t>
        </is>
      </c>
      <c r="F51" s="8" t="n">
        <v>161</v>
      </c>
      <c r="G51" s="9" t="n">
        <v>1</v>
      </c>
      <c r="H51" s="10" t="n">
        <v>0.5332895792744142</v>
      </c>
      <c r="I51" s="11" t="n">
        <v>2</v>
      </c>
      <c r="J51" s="8" t="n">
        <v>133</v>
      </c>
      <c r="K51" s="10" t="n">
        <v>0.445258014099938</v>
      </c>
      <c r="L51" s="10" t="n">
        <v>0.0007763975155279503</v>
      </c>
    </row>
    <row r="52">
      <c r="A52" s="7" t="n">
        <v>2</v>
      </c>
      <c r="B52" s="7" t="n">
        <v>21</v>
      </c>
      <c r="C52" s="7" t="n">
        <v>8</v>
      </c>
      <c r="D52" s="7" t="n">
        <v>2</v>
      </c>
      <c r="E52" s="7" t="inlineStr">
        <is>
          <t>Emergent (EA)</t>
        </is>
      </c>
      <c r="F52" s="8" t="n">
        <v>105</v>
      </c>
      <c r="G52" s="9" t="n">
        <v>1</v>
      </c>
      <c r="H52" s="10" t="n">
        <v>0.4983486165586379</v>
      </c>
      <c r="I52" s="11" t="n">
        <v>2</v>
      </c>
      <c r="J52" s="8" t="n">
        <v>61</v>
      </c>
      <c r="K52" s="10" t="n">
        <v>0.4108688068359373</v>
      </c>
      <c r="L52" s="10" t="n">
        <v>0</v>
      </c>
    </row>
    <row r="53">
      <c r="A53" s="7" t="n">
        <v>2</v>
      </c>
      <c r="B53" s="7" t="n">
        <v>22</v>
      </c>
      <c r="C53" s="7" t="n">
        <v>8</v>
      </c>
      <c r="D53" s="7" t="n">
        <v>2</v>
      </c>
      <c r="E53" s="7" t="inlineStr">
        <is>
          <t>Emergent (EA)</t>
        </is>
      </c>
      <c r="F53" s="8" t="n">
        <v>185</v>
      </c>
      <c r="G53" s="9" t="n">
        <v>1</v>
      </c>
      <c r="H53" s="10" t="n">
        <v>0.5675565791351923</v>
      </c>
      <c r="I53" s="11" t="n">
        <v>2</v>
      </c>
      <c r="J53" s="8" t="n">
        <v>102</v>
      </c>
      <c r="K53" s="10" t="n">
        <v>0.4807315974432479</v>
      </c>
      <c r="L53" s="10" t="n">
        <v>0.003378378378378379</v>
      </c>
    </row>
    <row r="54">
      <c r="A54" s="7" t="n">
        <v>2</v>
      </c>
      <c r="B54" s="7" t="n">
        <v>23</v>
      </c>
      <c r="C54" s="7" t="n">
        <v>8</v>
      </c>
      <c r="D54" s="7" t="n">
        <v>2</v>
      </c>
      <c r="E54" s="7" t="inlineStr">
        <is>
          <t>Emergent (EA)</t>
        </is>
      </c>
      <c r="F54" s="8" t="n">
        <v>145</v>
      </c>
      <c r="G54" s="9" t="n">
        <v>1</v>
      </c>
      <c r="H54" s="10" t="n">
        <v>1.500073244173976</v>
      </c>
      <c r="I54" s="11" t="n">
        <v>2</v>
      </c>
      <c r="J54" s="8" t="n">
        <v>57</v>
      </c>
      <c r="K54" s="10" t="n">
        <v>2.000124697597226</v>
      </c>
      <c r="L54" s="10" t="n">
        <v>0.00603448275862069</v>
      </c>
    </row>
    <row r="55">
      <c r="A55" s="7" t="n">
        <v>2</v>
      </c>
      <c r="B55" s="7" t="n">
        <v>24</v>
      </c>
      <c r="C55" s="7" t="n">
        <v>8</v>
      </c>
      <c r="D55" s="7" t="n">
        <v>2</v>
      </c>
      <c r="E55" s="7" t="inlineStr">
        <is>
          <t>Emergent (EA)</t>
        </is>
      </c>
      <c r="F55" s="8" t="n">
        <v>121</v>
      </c>
      <c r="G55" s="9" t="n">
        <v>1</v>
      </c>
      <c r="H55" s="10" t="n">
        <v>0.5386020277008601</v>
      </c>
      <c r="I55" s="11" t="n">
        <v>2</v>
      </c>
      <c r="J55" s="8" t="n">
        <v>41</v>
      </c>
      <c r="K55" s="10" t="n">
        <v>0.453907733105365</v>
      </c>
      <c r="L55" s="10" t="n">
        <v>0</v>
      </c>
    </row>
    <row r="56">
      <c r="A56" s="7" t="n">
        <v>2</v>
      </c>
      <c r="B56" s="7" t="n">
        <v>25</v>
      </c>
      <c r="C56" s="7" t="n">
        <v>8</v>
      </c>
      <c r="D56" s="7" t="n">
        <v>2</v>
      </c>
      <c r="E56" s="7" t="inlineStr">
        <is>
          <t>Emergent (EA)</t>
        </is>
      </c>
      <c r="F56" s="8" t="n">
        <v>99</v>
      </c>
      <c r="G56" s="9" t="n">
        <v>1</v>
      </c>
      <c r="H56" s="10" t="n">
        <v>0.5731785271120793</v>
      </c>
      <c r="I56" s="11" t="n">
        <v>2</v>
      </c>
      <c r="J56" s="8" t="n">
        <v>61</v>
      </c>
      <c r="K56" s="10" t="n">
        <v>0.4067290082370014</v>
      </c>
      <c r="L56" s="10" t="n">
        <v>0</v>
      </c>
    </row>
    <row r="57">
      <c r="A57" s="7" t="n">
        <v>2</v>
      </c>
      <c r="B57" s="7" t="n">
        <v>26</v>
      </c>
      <c r="C57" s="7" t="n">
        <v>8</v>
      </c>
      <c r="D57" s="7" t="n">
        <v>2</v>
      </c>
      <c r="E57" s="7" t="inlineStr">
        <is>
          <t>Emergent (EA)</t>
        </is>
      </c>
      <c r="F57" s="8" t="n">
        <v>121</v>
      </c>
      <c r="G57" s="9" t="n">
        <v>1</v>
      </c>
      <c r="H57" s="10" t="n">
        <v>0.5956159941293385</v>
      </c>
      <c r="I57" s="11" t="n">
        <v>2</v>
      </c>
      <c r="J57" s="8" t="n">
        <v>55</v>
      </c>
      <c r="K57" s="10" t="n">
        <v>0.5072229959584793</v>
      </c>
      <c r="L57" s="10" t="n">
        <v>0</v>
      </c>
    </row>
    <row r="58">
      <c r="A58" s="7" t="n">
        <v>2</v>
      </c>
      <c r="B58" s="7" t="n">
        <v>27</v>
      </c>
      <c r="C58" s="7" t="n">
        <v>8</v>
      </c>
      <c r="D58" s="7" t="n">
        <v>2</v>
      </c>
      <c r="E58" s="7" t="inlineStr">
        <is>
          <t>Emergent (EA)</t>
        </is>
      </c>
      <c r="F58" s="8" t="n">
        <v>176</v>
      </c>
      <c r="G58" s="9" t="n">
        <v>1</v>
      </c>
      <c r="H58" s="10" t="n">
        <v>0.5204345549385991</v>
      </c>
      <c r="I58" s="11" t="n">
        <v>2</v>
      </c>
      <c r="J58" s="8" t="n">
        <v>150</v>
      </c>
      <c r="K58" s="10" t="n">
        <v>0.4321624166043699</v>
      </c>
      <c r="L58" s="10" t="n">
        <v>0</v>
      </c>
    </row>
    <row r="59">
      <c r="A59" s="7" t="n">
        <v>2</v>
      </c>
      <c r="B59" s="7" t="n">
        <v>28</v>
      </c>
      <c r="C59" s="7" t="n">
        <v>8</v>
      </c>
      <c r="D59" s="7" t="n">
        <v>2</v>
      </c>
      <c r="E59" s="7" t="inlineStr">
        <is>
          <t>Emergent (EA)</t>
        </is>
      </c>
      <c r="F59" s="8" t="n">
        <v>370</v>
      </c>
      <c r="G59" s="9" t="n">
        <v>1</v>
      </c>
      <c r="H59" s="10" t="n">
        <v>0.5309433172632141</v>
      </c>
      <c r="I59" s="11" t="n">
        <v>2</v>
      </c>
      <c r="J59" s="8" t="n">
        <v>185</v>
      </c>
      <c r="K59" s="10" t="n">
        <v>0.4316853589832473</v>
      </c>
      <c r="L59" s="10" t="n">
        <v>0.008445945945945946</v>
      </c>
    </row>
    <row r="60">
      <c r="A60" s="7" t="n">
        <v>2</v>
      </c>
      <c r="B60" s="7" t="n">
        <v>29</v>
      </c>
      <c r="C60" s="7" t="n">
        <v>8</v>
      </c>
      <c r="D60" s="7" t="n">
        <v>2</v>
      </c>
      <c r="E60" s="7" t="inlineStr">
        <is>
          <t>Emergent (EA)</t>
        </is>
      </c>
      <c r="F60" s="8" t="n">
        <v>132</v>
      </c>
      <c r="G60" s="9" t="n">
        <v>1</v>
      </c>
      <c r="H60" s="10" t="n">
        <v>0.5616317637733514</v>
      </c>
      <c r="I60" s="11" t="n">
        <v>2</v>
      </c>
      <c r="J60" s="8" t="n">
        <v>61</v>
      </c>
      <c r="K60" s="10" t="n">
        <v>0.4928974041769492</v>
      </c>
      <c r="L60" s="10" t="n">
        <v>0</v>
      </c>
    </row>
    <row r="61">
      <c r="A61" s="7" t="n">
        <v>2</v>
      </c>
      <c r="B61" s="7" t="n">
        <v>30</v>
      </c>
      <c r="C61" s="7" t="n">
        <v>8</v>
      </c>
      <c r="D61" s="7" t="n">
        <v>2</v>
      </c>
      <c r="E61" s="7" t="inlineStr">
        <is>
          <t>Emergent (EA)</t>
        </is>
      </c>
      <c r="F61" s="8" t="n">
        <v>136</v>
      </c>
      <c r="G61" s="9" t="n">
        <v>1</v>
      </c>
      <c r="H61" s="10" t="n">
        <v>0.5126336164738758</v>
      </c>
      <c r="I61" s="11" t="n">
        <v>2</v>
      </c>
      <c r="J61" s="8" t="n">
        <v>102</v>
      </c>
      <c r="K61" s="10" t="n">
        <v>0.4783216289375192</v>
      </c>
      <c r="L61" s="10" t="n">
        <v>0</v>
      </c>
    </row>
    <row r="62">
      <c r="A62" s="7" t="n">
        <v>3</v>
      </c>
      <c r="B62" s="7" t="n">
        <v>1</v>
      </c>
      <c r="C62" s="7" t="n">
        <v>8</v>
      </c>
      <c r="D62" s="7" t="n">
        <v>3</v>
      </c>
      <c r="E62" s="7" t="inlineStr">
        <is>
          <t>Emergent (EA)</t>
        </is>
      </c>
      <c r="F62" s="8" t="n">
        <v>306</v>
      </c>
      <c r="G62" s="9" t="n">
        <v>1</v>
      </c>
      <c r="H62" s="10" t="n">
        <v>0.7072685024050943</v>
      </c>
      <c r="I62" s="11" t="n">
        <v>3</v>
      </c>
      <c r="J62" s="8" t="n">
        <v>120</v>
      </c>
      <c r="K62" s="10" t="n">
        <v>0.458131469347316</v>
      </c>
      <c r="L62" s="10" t="n">
        <v>0.02369281045751634</v>
      </c>
    </row>
    <row r="63">
      <c r="A63" s="7" t="n">
        <v>3</v>
      </c>
      <c r="B63" s="7" t="n">
        <v>2</v>
      </c>
      <c r="C63" s="7" t="n">
        <v>8</v>
      </c>
      <c r="D63" s="7" t="n">
        <v>3</v>
      </c>
      <c r="E63" s="7" t="inlineStr">
        <is>
          <t>Emergent (EA)</t>
        </is>
      </c>
      <c r="F63" s="8" t="n">
        <v>248</v>
      </c>
      <c r="G63" s="9" t="n">
        <v>1</v>
      </c>
      <c r="H63" s="10" t="n">
        <v>0.5097383452997544</v>
      </c>
      <c r="I63" s="11" t="n">
        <v>3</v>
      </c>
      <c r="J63" s="8" t="n">
        <v>102.5</v>
      </c>
      <c r="K63" s="10" t="n">
        <v>0.6267237568305004</v>
      </c>
      <c r="L63" s="10" t="n">
        <v>0.01612903225806452</v>
      </c>
    </row>
    <row r="64">
      <c r="A64" s="7" t="n">
        <v>3</v>
      </c>
      <c r="B64" s="7" t="n">
        <v>3</v>
      </c>
      <c r="C64" s="7" t="n">
        <v>8</v>
      </c>
      <c r="D64" s="7" t="n">
        <v>3</v>
      </c>
      <c r="E64" s="7" t="inlineStr">
        <is>
          <t>Emergent (EA)</t>
        </is>
      </c>
      <c r="F64" s="8" t="n">
        <v>284</v>
      </c>
      <c r="G64" s="9" t="n">
        <v>1</v>
      </c>
      <c r="H64" s="10" t="n">
        <v>0.5181922463465407</v>
      </c>
      <c r="I64" s="11" t="n">
        <v>3</v>
      </c>
      <c r="J64" s="8" t="n">
        <v>128</v>
      </c>
      <c r="K64" s="10" t="n">
        <v>0.4722701924408272</v>
      </c>
      <c r="L64" s="10" t="n">
        <v>0.002640845070422535</v>
      </c>
    </row>
    <row r="65">
      <c r="A65" s="7" t="n">
        <v>3</v>
      </c>
      <c r="B65" s="7" t="n">
        <v>4</v>
      </c>
      <c r="C65" s="7" t="n">
        <v>8</v>
      </c>
      <c r="D65" s="7" t="n">
        <v>3</v>
      </c>
      <c r="E65" s="7" t="inlineStr">
        <is>
          <t>Emergent (EA)</t>
        </is>
      </c>
      <c r="F65" s="8" t="n">
        <v>286</v>
      </c>
      <c r="G65" s="9" t="n">
        <v>1</v>
      </c>
      <c r="H65" s="10" t="n">
        <v>0.5232535186848681</v>
      </c>
      <c r="I65" s="11" t="n">
        <v>3</v>
      </c>
      <c r="J65" s="8" t="n">
        <v>97.5</v>
      </c>
      <c r="K65" s="10" t="n">
        <v>0.4737283342238048</v>
      </c>
      <c r="L65" s="10" t="n">
        <v>0.008304195804195804</v>
      </c>
    </row>
    <row r="66">
      <c r="A66" s="7" t="n">
        <v>3</v>
      </c>
      <c r="B66" s="7" t="n">
        <v>5</v>
      </c>
      <c r="C66" s="7" t="n">
        <v>8</v>
      </c>
      <c r="D66" s="7" t="n">
        <v>3</v>
      </c>
      <c r="E66" s="7" t="inlineStr">
        <is>
          <t>Emergent (EA)</t>
        </is>
      </c>
      <c r="F66" s="8" t="n">
        <v>186</v>
      </c>
      <c r="G66" s="9" t="n">
        <v>1</v>
      </c>
      <c r="H66" s="10" t="n">
        <v>0.5642286278124775</v>
      </c>
      <c r="I66" s="11" t="n">
        <v>3</v>
      </c>
      <c r="J66" s="8" t="n">
        <v>45</v>
      </c>
      <c r="K66" s="10" t="n">
        <v>0.4331721999095207</v>
      </c>
      <c r="L66" s="10" t="n">
        <v>0.0228494623655914</v>
      </c>
    </row>
    <row r="67">
      <c r="A67" s="7" t="n">
        <v>3</v>
      </c>
      <c r="B67" s="7" t="n">
        <v>6</v>
      </c>
      <c r="C67" s="7" t="n">
        <v>8</v>
      </c>
      <c r="D67" s="7" t="n">
        <v>3</v>
      </c>
      <c r="E67" s="7" t="inlineStr">
        <is>
          <t>Emergent (EA)</t>
        </is>
      </c>
      <c r="F67" s="8" t="n">
        <v>263</v>
      </c>
      <c r="G67" s="9" t="n">
        <v>1</v>
      </c>
      <c r="H67" s="10" t="n">
        <v>0.5457659026700618</v>
      </c>
      <c r="I67" s="11" t="n">
        <v>3</v>
      </c>
      <c r="J67" s="8" t="n">
        <v>66.5</v>
      </c>
      <c r="K67" s="10" t="n">
        <v>0.4210676456141664</v>
      </c>
      <c r="L67" s="10" t="n">
        <v>0.01948669201520913</v>
      </c>
    </row>
    <row r="68">
      <c r="A68" s="7" t="n">
        <v>3</v>
      </c>
      <c r="B68" s="7" t="n">
        <v>7</v>
      </c>
      <c r="C68" s="7" t="n">
        <v>8</v>
      </c>
      <c r="D68" s="7" t="n">
        <v>3</v>
      </c>
      <c r="E68" s="7" t="inlineStr">
        <is>
          <t>Emergent (EA)</t>
        </is>
      </c>
      <c r="F68" s="8" t="n">
        <v>329</v>
      </c>
      <c r="G68" s="9" t="n">
        <v>1</v>
      </c>
      <c r="H68" s="10" t="n">
        <v>0.52475471832253</v>
      </c>
      <c r="I68" s="11" t="n">
        <v>3</v>
      </c>
      <c r="J68" s="8" t="n">
        <v>134</v>
      </c>
      <c r="K68" s="10" t="n">
        <v>0.4516655776172422</v>
      </c>
      <c r="L68" s="10" t="n">
        <v>0.004179331306990881</v>
      </c>
    </row>
    <row r="69">
      <c r="A69" s="7" t="n">
        <v>3</v>
      </c>
      <c r="B69" s="7" t="n">
        <v>8</v>
      </c>
      <c r="C69" s="7" t="n">
        <v>8</v>
      </c>
      <c r="D69" s="7" t="n">
        <v>3</v>
      </c>
      <c r="E69" s="7" t="inlineStr">
        <is>
          <t>Emergent (EA)</t>
        </is>
      </c>
      <c r="F69" s="8" t="n">
        <v>321</v>
      </c>
      <c r="G69" s="9" t="n">
        <v>1</v>
      </c>
      <c r="H69" s="10" t="n">
        <v>0.5281931994908297</v>
      </c>
      <c r="I69" s="11" t="n">
        <v>3</v>
      </c>
      <c r="J69" s="8" t="n">
        <v>119</v>
      </c>
      <c r="K69" s="10" t="n">
        <v>0.4840307200907288</v>
      </c>
      <c r="L69" s="10" t="n">
        <v>0.003115264797507788</v>
      </c>
    </row>
    <row r="70">
      <c r="A70" s="7" t="n">
        <v>3</v>
      </c>
      <c r="B70" s="7" t="n">
        <v>9</v>
      </c>
      <c r="C70" s="7" t="n">
        <v>8</v>
      </c>
      <c r="D70" s="7" t="n">
        <v>3</v>
      </c>
      <c r="E70" s="7" t="inlineStr">
        <is>
          <t>Emergent (EA)</t>
        </is>
      </c>
      <c r="F70" s="8" t="n">
        <v>342</v>
      </c>
      <c r="G70" s="9" t="n">
        <v>1</v>
      </c>
      <c r="H70" s="10" t="n">
        <v>0.6916763458371349</v>
      </c>
      <c r="I70" s="11" t="n">
        <v>3</v>
      </c>
      <c r="J70" s="8" t="n">
        <v>98.5</v>
      </c>
      <c r="K70" s="10" t="n">
        <v>0.4830756477206324</v>
      </c>
      <c r="L70" s="10" t="n">
        <v>0.00621345029239766</v>
      </c>
    </row>
    <row r="71">
      <c r="A71" s="7" t="n">
        <v>3</v>
      </c>
      <c r="B71" s="7" t="n">
        <v>10</v>
      </c>
      <c r="C71" s="7" t="n">
        <v>8</v>
      </c>
      <c r="D71" s="7" t="n">
        <v>3</v>
      </c>
      <c r="E71" s="7" t="inlineStr">
        <is>
          <t>Emergent (EA)</t>
        </is>
      </c>
      <c r="F71" s="8" t="n">
        <v>227</v>
      </c>
      <c r="G71" s="9" t="n">
        <v>1</v>
      </c>
      <c r="H71" s="10" t="n">
        <v>0.5155138993280274</v>
      </c>
      <c r="I71" s="11" t="n">
        <v>3</v>
      </c>
      <c r="J71" s="8" t="n">
        <v>83</v>
      </c>
      <c r="K71" s="10" t="n">
        <v>0.4012143239293547</v>
      </c>
      <c r="L71" s="10" t="n">
        <v>0.004405286343612335</v>
      </c>
    </row>
    <row r="72">
      <c r="A72" s="7" t="n">
        <v>3</v>
      </c>
      <c r="B72" s="7" t="n">
        <v>11</v>
      </c>
      <c r="C72" s="7" t="n">
        <v>8</v>
      </c>
      <c r="D72" s="7" t="n">
        <v>3</v>
      </c>
      <c r="E72" s="7" t="inlineStr">
        <is>
          <t>Emergent (EA)</t>
        </is>
      </c>
      <c r="F72" s="8" t="n">
        <v>296</v>
      </c>
      <c r="G72" s="9" t="n">
        <v>1</v>
      </c>
      <c r="H72" s="10" t="n">
        <v>1.954548354517763</v>
      </c>
      <c r="I72" s="11" t="n">
        <v>3</v>
      </c>
      <c r="J72" s="8" t="n">
        <v>94.5</v>
      </c>
      <c r="K72" s="10" t="n">
        <v>1.789970496324506</v>
      </c>
      <c r="L72" s="10" t="n">
        <v>0.001689189189189189</v>
      </c>
    </row>
    <row r="73">
      <c r="A73" s="7" t="n">
        <v>3</v>
      </c>
      <c r="B73" s="7" t="n">
        <v>12</v>
      </c>
      <c r="C73" s="7" t="n">
        <v>8</v>
      </c>
      <c r="D73" s="7" t="n">
        <v>3</v>
      </c>
      <c r="E73" s="7" t="inlineStr">
        <is>
          <t>Emergent (EA)</t>
        </is>
      </c>
      <c r="F73" s="8" t="n">
        <v>368</v>
      </c>
      <c r="G73" s="9" t="n">
        <v>1</v>
      </c>
      <c r="H73" s="10" t="n">
        <v>0.5162280164088482</v>
      </c>
      <c r="I73" s="11" t="n">
        <v>3</v>
      </c>
      <c r="J73" s="8" t="n">
        <v>84.5</v>
      </c>
      <c r="K73" s="10" t="n">
        <v>0.4781059273947765</v>
      </c>
      <c r="L73" s="10" t="n">
        <v>0.01766304347826087</v>
      </c>
    </row>
    <row r="74">
      <c r="A74" s="7" t="n">
        <v>3</v>
      </c>
      <c r="B74" s="7" t="n">
        <v>13</v>
      </c>
      <c r="C74" s="7" t="n">
        <v>8</v>
      </c>
      <c r="D74" s="7" t="n">
        <v>3</v>
      </c>
      <c r="E74" s="7" t="inlineStr">
        <is>
          <t>Emergent (EA)</t>
        </is>
      </c>
      <c r="F74" s="8" t="n">
        <v>616</v>
      </c>
      <c r="G74" s="9" t="n">
        <v>1</v>
      </c>
      <c r="H74" s="10" t="n">
        <v>0.8990585710705208</v>
      </c>
      <c r="I74" s="11" t="n">
        <v>3</v>
      </c>
      <c r="J74" s="8" t="n">
        <v>201.5</v>
      </c>
      <c r="K74" s="10" t="n">
        <v>0.4389439737012791</v>
      </c>
      <c r="L74" s="10" t="n">
        <v>0.02455357142857143</v>
      </c>
    </row>
    <row r="75">
      <c r="A75" s="7" t="n">
        <v>3</v>
      </c>
      <c r="B75" s="7" t="n">
        <v>14</v>
      </c>
      <c r="C75" s="7" t="n">
        <v>8</v>
      </c>
      <c r="D75" s="7" t="n">
        <v>3</v>
      </c>
      <c r="E75" s="7" t="inlineStr">
        <is>
          <t>Emergent (EA)</t>
        </is>
      </c>
      <c r="F75" s="8" t="n">
        <v>343</v>
      </c>
      <c r="G75" s="9" t="n">
        <v>1</v>
      </c>
      <c r="H75" s="10" t="n">
        <v>0.5097782261370909</v>
      </c>
      <c r="I75" s="11" t="n">
        <v>3</v>
      </c>
      <c r="J75" s="8" t="n">
        <v>142.5</v>
      </c>
      <c r="K75" s="10" t="n">
        <v>0.4509745563213052</v>
      </c>
      <c r="L75" s="10" t="n">
        <v>0.01421282798833819</v>
      </c>
    </row>
    <row r="76">
      <c r="A76" s="7" t="n">
        <v>3</v>
      </c>
      <c r="B76" s="7" t="n">
        <v>15</v>
      </c>
      <c r="C76" s="7" t="n">
        <v>8</v>
      </c>
      <c r="D76" s="7" t="n">
        <v>3</v>
      </c>
      <c r="E76" s="7" t="inlineStr">
        <is>
          <t>Emergent (EA)</t>
        </is>
      </c>
      <c r="F76" s="8" t="n">
        <v>145</v>
      </c>
      <c r="G76" s="9" t="n">
        <v>1</v>
      </c>
      <c r="H76" s="10" t="n">
        <v>0.4874791493497179</v>
      </c>
      <c r="I76" s="11" t="n">
        <v>3</v>
      </c>
      <c r="J76" s="8" t="n">
        <v>43.5</v>
      </c>
      <c r="K76" s="10" t="n">
        <v>0.4337800785562243</v>
      </c>
      <c r="L76" s="10" t="n">
        <v>0.0008620689655172414</v>
      </c>
    </row>
    <row r="77">
      <c r="A77" s="7" t="n">
        <v>3</v>
      </c>
      <c r="B77" s="7" t="n">
        <v>16</v>
      </c>
      <c r="C77" s="7" t="n">
        <v>8</v>
      </c>
      <c r="D77" s="7" t="n">
        <v>3</v>
      </c>
      <c r="E77" s="7" t="inlineStr">
        <is>
          <t>Emergent (EA)</t>
        </is>
      </c>
      <c r="F77" s="8" t="n">
        <v>140</v>
      </c>
      <c r="G77" s="9" t="n">
        <v>1</v>
      </c>
      <c r="H77" s="10" t="n">
        <v>0.4743587418190068</v>
      </c>
      <c r="I77" s="11" t="n">
        <v>3</v>
      </c>
      <c r="J77" s="8" t="n">
        <v>41.5</v>
      </c>
      <c r="K77" s="10" t="n">
        <v>0.4444267443015706</v>
      </c>
      <c r="L77" s="10" t="n">
        <v>0.0125</v>
      </c>
    </row>
    <row r="78">
      <c r="A78" s="7" t="n">
        <v>3</v>
      </c>
      <c r="B78" s="7" t="n">
        <v>17</v>
      </c>
      <c r="C78" s="7" t="n">
        <v>8</v>
      </c>
      <c r="D78" s="7" t="n">
        <v>3</v>
      </c>
      <c r="E78" s="7" t="inlineStr">
        <is>
          <t>Emergent (EA)</t>
        </is>
      </c>
      <c r="F78" s="8" t="n">
        <v>205</v>
      </c>
      <c r="G78" s="9" t="n">
        <v>1</v>
      </c>
      <c r="H78" s="10" t="n">
        <v>0.6195928784404789</v>
      </c>
      <c r="I78" s="11" t="n">
        <v>3</v>
      </c>
      <c r="J78" s="8" t="n">
        <v>58.5</v>
      </c>
      <c r="K78" s="10" t="n">
        <v>0.3925612797537837</v>
      </c>
      <c r="L78" s="10" t="n">
        <v>0.01890243902439024</v>
      </c>
    </row>
    <row r="79">
      <c r="A79" s="7" t="n">
        <v>3</v>
      </c>
      <c r="B79" s="7" t="n">
        <v>18</v>
      </c>
      <c r="C79" s="7" t="n">
        <v>8</v>
      </c>
      <c r="D79" s="7" t="n">
        <v>3</v>
      </c>
      <c r="E79" s="7" t="inlineStr">
        <is>
          <t>Emergent (EA)</t>
        </is>
      </c>
      <c r="F79" s="8" t="n">
        <v>372</v>
      </c>
      <c r="G79" s="9" t="n">
        <v>1</v>
      </c>
      <c r="H79" s="10" t="n">
        <v>0.5338449046294151</v>
      </c>
      <c r="I79" s="11" t="n">
        <v>3</v>
      </c>
      <c r="J79" s="8" t="n">
        <v>171</v>
      </c>
      <c r="K79" s="10" t="n">
        <v>0.4488515407305093</v>
      </c>
      <c r="L79" s="10" t="n">
        <v>0.01008064516129032</v>
      </c>
    </row>
    <row r="80">
      <c r="A80" s="7" t="n">
        <v>3</v>
      </c>
      <c r="B80" s="7" t="n">
        <v>19</v>
      </c>
      <c r="C80" s="7" t="n">
        <v>8</v>
      </c>
      <c r="D80" s="7" t="n">
        <v>3</v>
      </c>
      <c r="E80" s="7" t="inlineStr">
        <is>
          <t>Emergent (EA)</t>
        </is>
      </c>
      <c r="F80" s="8" t="n">
        <v>329</v>
      </c>
      <c r="G80" s="9" t="n">
        <v>1</v>
      </c>
      <c r="H80" s="10" t="n">
        <v>0.5301693682106583</v>
      </c>
      <c r="I80" s="11" t="n">
        <v>3</v>
      </c>
      <c r="J80" s="8" t="n">
        <v>121</v>
      </c>
      <c r="K80" s="10" t="n">
        <v>0.4721971183483669</v>
      </c>
      <c r="L80" s="10" t="n">
        <v>0.01747720364741641</v>
      </c>
    </row>
    <row r="81">
      <c r="A81" s="7" t="n">
        <v>3</v>
      </c>
      <c r="B81" s="7" t="n">
        <v>20</v>
      </c>
      <c r="C81" s="7" t="n">
        <v>8</v>
      </c>
      <c r="D81" s="7" t="n">
        <v>3</v>
      </c>
      <c r="E81" s="7" t="inlineStr">
        <is>
          <t>Emergent (EA)</t>
        </is>
      </c>
      <c r="F81" s="8" t="n">
        <v>132</v>
      </c>
      <c r="G81" s="9" t="n">
        <v>1</v>
      </c>
      <c r="H81" s="10" t="n">
        <v>0.4942274057951365</v>
      </c>
      <c r="I81" s="11" t="n">
        <v>3</v>
      </c>
      <c r="J81" s="8" t="n">
        <v>39.5</v>
      </c>
      <c r="K81" s="10" t="n">
        <v>0.4388388895172872</v>
      </c>
      <c r="L81" s="10" t="n">
        <v>0.01988636363636364</v>
      </c>
    </row>
    <row r="82">
      <c r="A82" s="7" t="n">
        <v>3</v>
      </c>
      <c r="B82" s="7" t="n">
        <v>21</v>
      </c>
      <c r="C82" s="7" t="n">
        <v>8</v>
      </c>
      <c r="D82" s="7" t="n">
        <v>3</v>
      </c>
      <c r="E82" s="7" t="inlineStr">
        <is>
          <t>Emergent (EA)</t>
        </is>
      </c>
      <c r="F82" s="8" t="n">
        <v>98</v>
      </c>
      <c r="G82" s="9" t="n">
        <v>1</v>
      </c>
      <c r="H82" s="10" t="n">
        <v>0.50642172298622</v>
      </c>
      <c r="I82" s="11" t="n">
        <v>3</v>
      </c>
      <c r="J82" s="8" t="n">
        <v>29</v>
      </c>
      <c r="K82" s="10" t="n">
        <v>0.4233536933277211</v>
      </c>
      <c r="L82" s="10" t="n">
        <v>0.01403061224489796</v>
      </c>
    </row>
    <row r="83">
      <c r="A83" s="7" t="n">
        <v>3</v>
      </c>
      <c r="B83" s="7" t="n">
        <v>22</v>
      </c>
      <c r="C83" s="7" t="n">
        <v>8</v>
      </c>
      <c r="D83" s="7" t="n">
        <v>3</v>
      </c>
      <c r="E83" s="7" t="inlineStr">
        <is>
          <t>Emergent (EA)</t>
        </is>
      </c>
      <c r="F83" s="8" t="n">
        <v>322</v>
      </c>
      <c r="G83" s="9" t="n">
        <v>1</v>
      </c>
      <c r="H83" s="10" t="n">
        <v>0.5335453333363525</v>
      </c>
      <c r="I83" s="11" t="n">
        <v>3</v>
      </c>
      <c r="J83" s="8" t="n">
        <v>142.5</v>
      </c>
      <c r="K83" s="10" t="n">
        <v>0.5084895326304659</v>
      </c>
      <c r="L83" s="10" t="n">
        <v>0.01591614906832298</v>
      </c>
    </row>
    <row r="84">
      <c r="A84" s="7" t="n">
        <v>3</v>
      </c>
      <c r="B84" s="7" t="n">
        <v>23</v>
      </c>
      <c r="C84" s="7" t="n">
        <v>8</v>
      </c>
      <c r="D84" s="7" t="n">
        <v>3</v>
      </c>
      <c r="E84" s="7" t="inlineStr">
        <is>
          <t>Emergent (EA)</t>
        </is>
      </c>
      <c r="F84" s="8" t="n">
        <v>180</v>
      </c>
      <c r="G84" s="9" t="n">
        <v>1</v>
      </c>
      <c r="H84" s="10" t="n">
        <v>0.5546625257808399</v>
      </c>
      <c r="I84" s="11" t="n">
        <v>3</v>
      </c>
      <c r="J84" s="8" t="n">
        <v>53.5</v>
      </c>
      <c r="K84" s="10" t="n">
        <v>0.4668718760549993</v>
      </c>
      <c r="L84" s="10" t="n">
        <v>0</v>
      </c>
    </row>
    <row r="85">
      <c r="A85" s="7" t="n">
        <v>3</v>
      </c>
      <c r="B85" s="7" t="n">
        <v>24</v>
      </c>
      <c r="C85" s="7" t="n">
        <v>8</v>
      </c>
      <c r="D85" s="7" t="n">
        <v>3</v>
      </c>
      <c r="E85" s="7" t="inlineStr">
        <is>
          <t>Emergent (EA)</t>
        </is>
      </c>
      <c r="F85" s="8" t="n">
        <v>296</v>
      </c>
      <c r="G85" s="9" t="n">
        <v>1</v>
      </c>
      <c r="H85" s="10" t="n">
        <v>0.5214665614390023</v>
      </c>
      <c r="I85" s="11" t="n">
        <v>3</v>
      </c>
      <c r="J85" s="8" t="n">
        <v>129</v>
      </c>
      <c r="K85" s="10" t="n">
        <v>0.421987602978369</v>
      </c>
      <c r="L85" s="10" t="n">
        <v>0.00633445945945946</v>
      </c>
    </row>
    <row r="86">
      <c r="A86" s="7" t="n">
        <v>3</v>
      </c>
      <c r="B86" s="7" t="n">
        <v>25</v>
      </c>
      <c r="C86" s="7" t="n">
        <v>8</v>
      </c>
      <c r="D86" s="7" t="n">
        <v>3</v>
      </c>
      <c r="E86" s="7" t="inlineStr">
        <is>
          <t>Emergent (EA)</t>
        </is>
      </c>
      <c r="F86" s="8" t="n">
        <v>158</v>
      </c>
      <c r="G86" s="9" t="n">
        <v>1</v>
      </c>
      <c r="H86" s="10" t="n">
        <v>0.5417062473016189</v>
      </c>
      <c r="I86" s="11" t="n">
        <v>3</v>
      </c>
      <c r="J86" s="8" t="n">
        <v>61.5</v>
      </c>
      <c r="K86" s="10" t="n">
        <v>0.4719184202601299</v>
      </c>
      <c r="L86" s="10" t="n">
        <v>0.01661392405063291</v>
      </c>
    </row>
    <row r="87">
      <c r="A87" s="7" t="n">
        <v>3</v>
      </c>
      <c r="B87" s="7" t="n">
        <v>26</v>
      </c>
      <c r="C87" s="7" t="n">
        <v>8</v>
      </c>
      <c r="D87" s="7" t="n">
        <v>3</v>
      </c>
      <c r="E87" s="7" t="inlineStr">
        <is>
          <t>Emergent (EA)</t>
        </is>
      </c>
      <c r="F87" s="8" t="n">
        <v>262</v>
      </c>
      <c r="G87" s="9" t="n">
        <v>1</v>
      </c>
      <c r="H87" s="10" t="n">
        <v>0.4873736810315444</v>
      </c>
      <c r="I87" s="11" t="n">
        <v>3</v>
      </c>
      <c r="J87" s="8" t="n">
        <v>57</v>
      </c>
      <c r="K87" s="10" t="n">
        <v>0.4194174614843063</v>
      </c>
      <c r="L87" s="10" t="n">
        <v>0.008587786259541985</v>
      </c>
    </row>
    <row r="88">
      <c r="A88" s="7" t="n">
        <v>3</v>
      </c>
      <c r="B88" s="7" t="n">
        <v>27</v>
      </c>
      <c r="C88" s="7" t="n">
        <v>8</v>
      </c>
      <c r="D88" s="7" t="n">
        <v>3</v>
      </c>
      <c r="E88" s="7" t="inlineStr">
        <is>
          <t>Emergent (EA)</t>
        </is>
      </c>
      <c r="F88" s="8" t="n">
        <v>175</v>
      </c>
      <c r="G88" s="9" t="n">
        <v>1</v>
      </c>
      <c r="H88" s="10" t="n">
        <v>0.5459882576586549</v>
      </c>
      <c r="I88" s="11" t="n">
        <v>3</v>
      </c>
      <c r="J88" s="8" t="n">
        <v>69.5</v>
      </c>
      <c r="K88" s="10" t="n">
        <v>0.433108601443519</v>
      </c>
      <c r="L88" s="10" t="n">
        <v>0.01785714285714286</v>
      </c>
    </row>
    <row r="89">
      <c r="A89" s="7" t="n">
        <v>3</v>
      </c>
      <c r="B89" s="7" t="n">
        <v>28</v>
      </c>
      <c r="C89" s="7" t="n">
        <v>8</v>
      </c>
      <c r="D89" s="7" t="n">
        <v>3</v>
      </c>
      <c r="E89" s="7" t="inlineStr">
        <is>
          <t>Emergent (EA)</t>
        </is>
      </c>
      <c r="F89" s="8" t="n">
        <v>229</v>
      </c>
      <c r="G89" s="9" t="n">
        <v>1</v>
      </c>
      <c r="H89" s="10" t="n">
        <v>0.4994600045743047</v>
      </c>
      <c r="I89" s="11" t="n">
        <v>3</v>
      </c>
      <c r="J89" s="8" t="n">
        <v>100.5</v>
      </c>
      <c r="K89" s="10" t="n">
        <v>0.4828155438183666</v>
      </c>
      <c r="L89" s="10" t="n">
        <v>0.01528384279475982</v>
      </c>
    </row>
    <row r="90">
      <c r="A90" s="7" t="n">
        <v>3</v>
      </c>
      <c r="B90" s="7" t="n">
        <v>29</v>
      </c>
      <c r="C90" s="7" t="n">
        <v>8</v>
      </c>
      <c r="D90" s="7" t="n">
        <v>3</v>
      </c>
      <c r="E90" s="7" t="inlineStr">
        <is>
          <t>Emergent (EA)</t>
        </is>
      </c>
      <c r="F90" s="8" t="n">
        <v>139</v>
      </c>
      <c r="G90" s="9" t="n">
        <v>1</v>
      </c>
      <c r="H90" s="10" t="n">
        <v>1.20462635801524</v>
      </c>
      <c r="I90" s="11" t="n">
        <v>3</v>
      </c>
      <c r="J90" s="8" t="n">
        <v>29.5</v>
      </c>
      <c r="K90" s="10" t="n">
        <v>1.246656757752011</v>
      </c>
      <c r="L90" s="10" t="n">
        <v>0.008992805755395683</v>
      </c>
    </row>
    <row r="91">
      <c r="A91" s="7" t="n">
        <v>3</v>
      </c>
      <c r="B91" s="7" t="n">
        <v>30</v>
      </c>
      <c r="C91" s="7" t="n">
        <v>8</v>
      </c>
      <c r="D91" s="7" t="n">
        <v>3</v>
      </c>
      <c r="E91" s="7" t="inlineStr">
        <is>
          <t>Emergent (EA)</t>
        </is>
      </c>
      <c r="F91" s="8" t="n">
        <v>151</v>
      </c>
      <c r="G91" s="9" t="n">
        <v>1</v>
      </c>
      <c r="H91" s="10" t="n">
        <v>0.5500859826351526</v>
      </c>
      <c r="I91" s="11" t="n">
        <v>3</v>
      </c>
      <c r="J91" s="8" t="n">
        <v>61</v>
      </c>
      <c r="K91" s="10" t="n">
        <v>0.4730426350426896</v>
      </c>
      <c r="L91" s="10" t="n">
        <v>0.00413907284768212</v>
      </c>
    </row>
    <row r="92">
      <c r="A92" s="7" t="n">
        <v>4</v>
      </c>
      <c r="B92" s="7" t="n">
        <v>1</v>
      </c>
      <c r="C92" s="7" t="n">
        <v>12</v>
      </c>
      <c r="D92" s="7" t="n">
        <v>1</v>
      </c>
      <c r="E92" s="7" t="inlineStr">
        <is>
          <t>Emergent (EA)</t>
        </is>
      </c>
      <c r="F92" s="8" t="n">
        <v>58</v>
      </c>
      <c r="G92" s="9" t="n">
        <v>1</v>
      </c>
      <c r="H92" s="10" t="n">
        <v>1.066425583494847</v>
      </c>
      <c r="I92" s="11" t="n">
        <v>1</v>
      </c>
      <c r="J92" s="8" t="n">
        <v>58</v>
      </c>
      <c r="K92" s="10" t="n">
        <v>0.4483725463847908</v>
      </c>
      <c r="L92" s="10" t="n">
        <v>0</v>
      </c>
    </row>
    <row r="93">
      <c r="A93" s="7" t="n">
        <v>4</v>
      </c>
      <c r="B93" s="7" t="n">
        <v>2</v>
      </c>
      <c r="C93" s="7" t="n">
        <v>12</v>
      </c>
      <c r="D93" s="7" t="n">
        <v>1</v>
      </c>
      <c r="E93" s="7" t="inlineStr">
        <is>
          <t>Emergent (EA)</t>
        </is>
      </c>
      <c r="F93" s="8" t="n">
        <v>96</v>
      </c>
      <c r="G93" s="9" t="n">
        <v>1</v>
      </c>
      <c r="H93" s="10" t="n">
        <v>0.6566674156855445</v>
      </c>
      <c r="I93" s="11" t="n">
        <v>1</v>
      </c>
      <c r="J93" s="8" t="n">
        <v>96</v>
      </c>
      <c r="K93" s="10" t="n">
        <v>0.5160159401850212</v>
      </c>
      <c r="L93" s="10" t="n">
        <v>0</v>
      </c>
    </row>
    <row r="94">
      <c r="A94" s="7" t="n">
        <v>4</v>
      </c>
      <c r="B94" s="7" t="n">
        <v>3</v>
      </c>
      <c r="C94" s="7" t="n">
        <v>12</v>
      </c>
      <c r="D94" s="7" t="n">
        <v>1</v>
      </c>
      <c r="E94" s="7" t="inlineStr">
        <is>
          <t>Emergent (EA)</t>
        </is>
      </c>
      <c r="F94" s="8" t="n">
        <v>67</v>
      </c>
      <c r="G94" s="9" t="n">
        <v>1</v>
      </c>
      <c r="H94" s="10" t="n">
        <v>0.6565701810617002</v>
      </c>
      <c r="I94" s="11" t="n">
        <v>1</v>
      </c>
      <c r="J94" s="8" t="n">
        <v>67</v>
      </c>
      <c r="K94" s="10" t="n">
        <v>0.5517988538022942</v>
      </c>
      <c r="L94" s="10" t="n">
        <v>0</v>
      </c>
    </row>
    <row r="95">
      <c r="A95" s="7" t="n">
        <v>4</v>
      </c>
      <c r="B95" s="7" t="n">
        <v>4</v>
      </c>
      <c r="C95" s="7" t="n">
        <v>12</v>
      </c>
      <c r="D95" s="7" t="n">
        <v>1</v>
      </c>
      <c r="E95" s="7" t="inlineStr">
        <is>
          <t>Emergent (EA)</t>
        </is>
      </c>
      <c r="F95" s="8" t="n">
        <v>40</v>
      </c>
      <c r="G95" s="9" t="n">
        <v>1</v>
      </c>
      <c r="H95" s="10" t="n">
        <v>0.6738124732443749</v>
      </c>
      <c r="I95" s="11" t="n">
        <v>1</v>
      </c>
      <c r="J95" s="8" t="n">
        <v>40</v>
      </c>
      <c r="K95" s="10" t="n">
        <v>0.5874120254907974</v>
      </c>
      <c r="L95" s="10" t="n">
        <v>0</v>
      </c>
    </row>
    <row r="96">
      <c r="A96" s="7" t="n">
        <v>4</v>
      </c>
      <c r="B96" s="7" t="n">
        <v>5</v>
      </c>
      <c r="C96" s="7" t="n">
        <v>12</v>
      </c>
      <c r="D96" s="7" t="n">
        <v>1</v>
      </c>
      <c r="E96" s="7" t="inlineStr">
        <is>
          <t>Emergent (EA)</t>
        </is>
      </c>
      <c r="F96" s="8" t="n">
        <v>65</v>
      </c>
      <c r="G96" s="9" t="n">
        <v>1</v>
      </c>
      <c r="H96" s="10" t="n">
        <v>2.450454855785952</v>
      </c>
      <c r="I96" s="11" t="n">
        <v>1</v>
      </c>
      <c r="J96" s="8" t="n">
        <v>65</v>
      </c>
      <c r="K96" s="10" t="n">
        <v>3.830357877720289</v>
      </c>
      <c r="L96" s="10" t="n">
        <v>0</v>
      </c>
    </row>
    <row r="97">
      <c r="A97" s="7" t="n">
        <v>4</v>
      </c>
      <c r="B97" s="7" t="n">
        <v>6</v>
      </c>
      <c r="C97" s="7" t="n">
        <v>12</v>
      </c>
      <c r="D97" s="7" t="n">
        <v>1</v>
      </c>
      <c r="E97" s="7" t="inlineStr">
        <is>
          <t>Emergent (EA)</t>
        </is>
      </c>
      <c r="F97" s="8" t="n">
        <v>52</v>
      </c>
      <c r="G97" s="9" t="n">
        <v>1</v>
      </c>
      <c r="H97" s="10" t="n">
        <v>0.9873611889076523</v>
      </c>
      <c r="I97" s="11" t="n">
        <v>1</v>
      </c>
      <c r="J97" s="8" t="n">
        <v>52</v>
      </c>
      <c r="K97" s="10" t="n">
        <v>0.4759224018097623</v>
      </c>
      <c r="L97" s="10" t="n">
        <v>0</v>
      </c>
    </row>
    <row r="98">
      <c r="A98" s="7" t="n">
        <v>4</v>
      </c>
      <c r="B98" s="7" t="n">
        <v>7</v>
      </c>
      <c r="C98" s="7" t="n">
        <v>12</v>
      </c>
      <c r="D98" s="7" t="n">
        <v>1</v>
      </c>
      <c r="E98" s="7" t="inlineStr">
        <is>
          <t>Emergent (EA)</t>
        </is>
      </c>
      <c r="F98" s="8" t="n">
        <v>39</v>
      </c>
      <c r="G98" s="9" t="n">
        <v>1</v>
      </c>
      <c r="H98" s="10" t="n">
        <v>0.6205068708752982</v>
      </c>
      <c r="I98" s="11" t="n">
        <v>1</v>
      </c>
      <c r="J98" s="8" t="n">
        <v>39</v>
      </c>
      <c r="K98" s="10" t="n">
        <v>0.506218718643675</v>
      </c>
      <c r="L98" s="10" t="n">
        <v>0</v>
      </c>
    </row>
    <row r="99">
      <c r="A99" s="7" t="n">
        <v>4</v>
      </c>
      <c r="B99" s="7" t="n">
        <v>8</v>
      </c>
      <c r="C99" s="7" t="n">
        <v>12</v>
      </c>
      <c r="D99" s="7" t="n">
        <v>1</v>
      </c>
      <c r="E99" s="7" t="inlineStr">
        <is>
          <t>Emergent (EA)</t>
        </is>
      </c>
      <c r="F99" s="8" t="n">
        <v>132</v>
      </c>
      <c r="G99" s="9" t="n">
        <v>1</v>
      </c>
      <c r="H99" s="10" t="n">
        <v>0.6472407704586893</v>
      </c>
      <c r="I99" s="11" t="n">
        <v>1</v>
      </c>
      <c r="J99" s="8" t="n">
        <v>132</v>
      </c>
      <c r="K99" s="10" t="n">
        <v>0.6027405411978882</v>
      </c>
      <c r="L99" s="10" t="n">
        <v>0</v>
      </c>
    </row>
    <row r="100">
      <c r="A100" s="7" t="n">
        <v>4</v>
      </c>
      <c r="B100" s="7" t="n">
        <v>9</v>
      </c>
      <c r="C100" s="7" t="n">
        <v>12</v>
      </c>
      <c r="D100" s="7" t="n">
        <v>1</v>
      </c>
      <c r="E100" s="7" t="inlineStr">
        <is>
          <t>Emergent (EA)</t>
        </is>
      </c>
      <c r="F100" s="8" t="n">
        <v>101</v>
      </c>
      <c r="G100" s="9" t="n">
        <v>1</v>
      </c>
      <c r="H100" s="10" t="n">
        <v>1.617588980815748</v>
      </c>
      <c r="I100" s="11" t="n">
        <v>1</v>
      </c>
      <c r="J100" s="8" t="n">
        <v>101</v>
      </c>
      <c r="K100" s="10" t="n">
        <v>0.5596731489200895</v>
      </c>
      <c r="L100" s="10" t="n">
        <v>0</v>
      </c>
    </row>
    <row r="101">
      <c r="A101" s="7" t="n">
        <v>4</v>
      </c>
      <c r="B101" s="7" t="n">
        <v>10</v>
      </c>
      <c r="C101" s="7" t="n">
        <v>12</v>
      </c>
      <c r="D101" s="7" t="n">
        <v>1</v>
      </c>
      <c r="E101" s="7" t="inlineStr">
        <is>
          <t>Emergent (EA)</t>
        </is>
      </c>
      <c r="F101" s="8" t="n">
        <v>242</v>
      </c>
      <c r="G101" s="9" t="n">
        <v>1</v>
      </c>
      <c r="H101" s="10" t="n">
        <v>1.477222036158404</v>
      </c>
      <c r="I101" s="11" t="n">
        <v>1</v>
      </c>
      <c r="J101" s="8" t="n">
        <v>242</v>
      </c>
      <c r="K101" s="10" t="n">
        <v>0.4863175270302905</v>
      </c>
      <c r="L101" s="10" t="n">
        <v>0</v>
      </c>
    </row>
    <row r="102">
      <c r="A102" s="7" t="n">
        <v>4</v>
      </c>
      <c r="B102" s="7" t="n">
        <v>11</v>
      </c>
      <c r="C102" s="7" t="n">
        <v>12</v>
      </c>
      <c r="D102" s="7" t="n">
        <v>1</v>
      </c>
      <c r="E102" s="7" t="inlineStr">
        <is>
          <t>Emergent (EA)</t>
        </is>
      </c>
      <c r="F102" s="8" t="n">
        <v>118</v>
      </c>
      <c r="G102" s="9" t="n">
        <v>1</v>
      </c>
      <c r="H102" s="10" t="n">
        <v>0.5985709691310719</v>
      </c>
      <c r="I102" s="11" t="n">
        <v>1</v>
      </c>
      <c r="J102" s="8" t="n">
        <v>118</v>
      </c>
      <c r="K102" s="10" t="n">
        <v>0.5156169455448922</v>
      </c>
      <c r="L102" s="10" t="n">
        <v>0</v>
      </c>
    </row>
    <row r="103">
      <c r="A103" s="7" t="n">
        <v>4</v>
      </c>
      <c r="B103" s="7" t="n">
        <v>12</v>
      </c>
      <c r="C103" s="7" t="n">
        <v>12</v>
      </c>
      <c r="D103" s="7" t="n">
        <v>1</v>
      </c>
      <c r="E103" s="7" t="inlineStr">
        <is>
          <t>Emergent (EA)</t>
        </is>
      </c>
      <c r="F103" s="8" t="n">
        <v>29</v>
      </c>
      <c r="G103" s="9" t="n">
        <v>1</v>
      </c>
      <c r="H103" s="10" t="n">
        <v>0.6482594145319145</v>
      </c>
      <c r="I103" s="11" t="n">
        <v>1</v>
      </c>
      <c r="J103" s="8" t="n">
        <v>29</v>
      </c>
      <c r="K103" s="10" t="n">
        <v>0.6329805782278551</v>
      </c>
      <c r="L103" s="10" t="n">
        <v>0</v>
      </c>
    </row>
    <row r="104">
      <c r="A104" s="7" t="n">
        <v>4</v>
      </c>
      <c r="B104" s="7" t="n">
        <v>13</v>
      </c>
      <c r="C104" s="7" t="n">
        <v>12</v>
      </c>
      <c r="D104" s="7" t="n">
        <v>1</v>
      </c>
      <c r="E104" s="7" t="inlineStr">
        <is>
          <t>Emergent (EA)</t>
        </is>
      </c>
      <c r="F104" s="8" t="n">
        <v>109</v>
      </c>
      <c r="G104" s="9" t="n">
        <v>1</v>
      </c>
      <c r="H104" s="10" t="n">
        <v>1.810360774169837</v>
      </c>
      <c r="I104" s="11" t="n">
        <v>1</v>
      </c>
      <c r="J104" s="8" t="n">
        <v>109</v>
      </c>
      <c r="K104" s="10" t="n">
        <v>0.4075534359933501</v>
      </c>
      <c r="L104" s="10" t="n">
        <v>0</v>
      </c>
    </row>
    <row r="105">
      <c r="A105" s="7" t="n">
        <v>4</v>
      </c>
      <c r="B105" s="7" t="n">
        <v>14</v>
      </c>
      <c r="C105" s="7" t="n">
        <v>12</v>
      </c>
      <c r="D105" s="7" t="n">
        <v>1</v>
      </c>
      <c r="E105" s="7" t="inlineStr">
        <is>
          <t>Emergent (EA)</t>
        </is>
      </c>
      <c r="F105" s="8" t="n">
        <v>97</v>
      </c>
      <c r="G105" s="9" t="n">
        <v>1</v>
      </c>
      <c r="H105" s="10" t="n">
        <v>0.7258811334401299</v>
      </c>
      <c r="I105" s="11" t="n">
        <v>1</v>
      </c>
      <c r="J105" s="8" t="n">
        <v>97</v>
      </c>
      <c r="K105" s="10" t="n">
        <v>0.5035827077106897</v>
      </c>
      <c r="L105" s="10" t="n">
        <v>0</v>
      </c>
    </row>
    <row r="106">
      <c r="A106" s="7" t="n">
        <v>4</v>
      </c>
      <c r="B106" s="7" t="n">
        <v>15</v>
      </c>
      <c r="C106" s="7" t="n">
        <v>12</v>
      </c>
      <c r="D106" s="7" t="n">
        <v>1</v>
      </c>
      <c r="E106" s="7" t="inlineStr">
        <is>
          <t>Emergent (EA)</t>
        </is>
      </c>
      <c r="F106" s="8" t="n">
        <v>113</v>
      </c>
      <c r="G106" s="9" t="n">
        <v>1</v>
      </c>
      <c r="H106" s="10" t="n">
        <v>0.7088694209334639</v>
      </c>
      <c r="I106" s="11" t="n">
        <v>1</v>
      </c>
      <c r="J106" s="8" t="n">
        <v>113</v>
      </c>
      <c r="K106" s="10" t="n">
        <v>0.5882470725179006</v>
      </c>
      <c r="L106" s="10" t="n">
        <v>0</v>
      </c>
    </row>
    <row r="107">
      <c r="A107" s="7" t="n">
        <v>4</v>
      </c>
      <c r="B107" s="7" t="n">
        <v>16</v>
      </c>
      <c r="C107" s="7" t="n">
        <v>12</v>
      </c>
      <c r="D107" s="7" t="n">
        <v>1</v>
      </c>
      <c r="E107" s="7" t="inlineStr">
        <is>
          <t>Emergent (EA)</t>
        </is>
      </c>
      <c r="F107" s="8" t="n">
        <v>72</v>
      </c>
      <c r="G107" s="9" t="n">
        <v>1</v>
      </c>
      <c r="H107" s="10" t="n">
        <v>1.108935959850202</v>
      </c>
      <c r="I107" s="11" t="n">
        <v>1</v>
      </c>
      <c r="J107" s="8" t="n">
        <v>72</v>
      </c>
      <c r="K107" s="10" t="n">
        <v>0.4846375193627862</v>
      </c>
      <c r="L107" s="10" t="n">
        <v>0</v>
      </c>
    </row>
    <row r="108">
      <c r="A108" s="7" t="n">
        <v>4</v>
      </c>
      <c r="B108" s="7" t="n">
        <v>17</v>
      </c>
      <c r="C108" s="7" t="n">
        <v>12</v>
      </c>
      <c r="D108" s="7" t="n">
        <v>1</v>
      </c>
      <c r="E108" s="7" t="inlineStr">
        <is>
          <t>Emergent (EA)</t>
        </is>
      </c>
      <c r="F108" s="8" t="n">
        <v>76</v>
      </c>
      <c r="G108" s="9" t="n">
        <v>1</v>
      </c>
      <c r="H108" s="10" t="n">
        <v>0.6319437065524481</v>
      </c>
      <c r="I108" s="11" t="n">
        <v>1</v>
      </c>
      <c r="J108" s="8" t="n">
        <v>76</v>
      </c>
      <c r="K108" s="10" t="n">
        <v>0.597249909368328</v>
      </c>
      <c r="L108" s="10" t="n">
        <v>0</v>
      </c>
    </row>
    <row r="109">
      <c r="A109" s="7" t="n">
        <v>4</v>
      </c>
      <c r="B109" s="7" t="n">
        <v>18</v>
      </c>
      <c r="C109" s="7" t="n">
        <v>12</v>
      </c>
      <c r="D109" s="7" t="n">
        <v>1</v>
      </c>
      <c r="E109" s="7" t="inlineStr">
        <is>
          <t>Emergent (EA)</t>
        </is>
      </c>
      <c r="F109" s="8" t="n">
        <v>73</v>
      </c>
      <c r="G109" s="9" t="n">
        <v>1</v>
      </c>
      <c r="H109" s="10" t="n">
        <v>0.6756166610408303</v>
      </c>
      <c r="I109" s="11" t="n">
        <v>1</v>
      </c>
      <c r="J109" s="8" t="n">
        <v>73</v>
      </c>
      <c r="K109" s="10" t="n">
        <v>0.5452650353886376</v>
      </c>
      <c r="L109" s="10" t="n">
        <v>0</v>
      </c>
    </row>
    <row r="110">
      <c r="A110" s="7" t="n">
        <v>4</v>
      </c>
      <c r="B110" s="7" t="n">
        <v>19</v>
      </c>
      <c r="C110" s="7" t="n">
        <v>12</v>
      </c>
      <c r="D110" s="7" t="n">
        <v>1</v>
      </c>
      <c r="E110" s="7" t="inlineStr">
        <is>
          <t>Emergent (EA)</t>
        </is>
      </c>
      <c r="F110" s="8" t="n">
        <v>40</v>
      </c>
      <c r="G110" s="9" t="n">
        <v>1</v>
      </c>
      <c r="H110" s="10" t="n">
        <v>0.6218193134653786</v>
      </c>
      <c r="I110" s="11" t="n">
        <v>1</v>
      </c>
      <c r="J110" s="8" t="n">
        <v>40</v>
      </c>
      <c r="K110" s="10" t="n">
        <v>0.6305873688487614</v>
      </c>
      <c r="L110" s="10" t="n">
        <v>0</v>
      </c>
    </row>
    <row r="111">
      <c r="A111" s="7" t="n">
        <v>4</v>
      </c>
      <c r="B111" s="7" t="n">
        <v>20</v>
      </c>
      <c r="C111" s="7" t="n">
        <v>12</v>
      </c>
      <c r="D111" s="7" t="n">
        <v>1</v>
      </c>
      <c r="E111" s="7" t="inlineStr">
        <is>
          <t>Emergent (EA)</t>
        </is>
      </c>
      <c r="F111" s="8" t="n">
        <v>147</v>
      </c>
      <c r="G111" s="9" t="n">
        <v>1</v>
      </c>
      <c r="H111" s="10" t="n">
        <v>0.640338832330679</v>
      </c>
      <c r="I111" s="11" t="n">
        <v>1</v>
      </c>
      <c r="J111" s="8" t="n">
        <v>147</v>
      </c>
      <c r="K111" s="10" t="n">
        <v>0.4706765355015061</v>
      </c>
      <c r="L111" s="10" t="n">
        <v>0</v>
      </c>
    </row>
    <row r="112">
      <c r="A112" s="7" t="n">
        <v>4</v>
      </c>
      <c r="B112" s="7" t="n">
        <v>21</v>
      </c>
      <c r="C112" s="7" t="n">
        <v>12</v>
      </c>
      <c r="D112" s="7" t="n">
        <v>1</v>
      </c>
      <c r="E112" s="7" t="inlineStr">
        <is>
          <t>Emergent (EA)</t>
        </is>
      </c>
      <c r="F112" s="8" t="n">
        <v>83</v>
      </c>
      <c r="G112" s="9" t="n">
        <v>1</v>
      </c>
      <c r="H112" s="10" t="n">
        <v>0.842533622416657</v>
      </c>
      <c r="I112" s="11" t="n">
        <v>1</v>
      </c>
      <c r="J112" s="8" t="n">
        <v>83</v>
      </c>
      <c r="K112" s="10" t="n">
        <v>0.5215329841475059</v>
      </c>
      <c r="L112" s="10" t="n">
        <v>0</v>
      </c>
    </row>
    <row r="113">
      <c r="A113" s="7" t="n">
        <v>4</v>
      </c>
      <c r="B113" s="7" t="n">
        <v>22</v>
      </c>
      <c r="C113" s="7" t="n">
        <v>12</v>
      </c>
      <c r="D113" s="7" t="n">
        <v>1</v>
      </c>
      <c r="E113" s="7" t="inlineStr">
        <is>
          <t>Emergent (EA)</t>
        </is>
      </c>
      <c r="F113" s="8" t="n">
        <v>137</v>
      </c>
      <c r="G113" s="9" t="n">
        <v>1</v>
      </c>
      <c r="H113" s="10" t="n">
        <v>2.00781702783978</v>
      </c>
      <c r="I113" s="11" t="n">
        <v>1</v>
      </c>
      <c r="J113" s="8" t="n">
        <v>137</v>
      </c>
      <c r="K113" s="10" t="n">
        <v>0.571830509653269</v>
      </c>
      <c r="L113" s="10" t="n">
        <v>0</v>
      </c>
    </row>
    <row r="114">
      <c r="A114" s="7" t="n">
        <v>4</v>
      </c>
      <c r="B114" s="7" t="n">
        <v>23</v>
      </c>
      <c r="C114" s="7" t="n">
        <v>12</v>
      </c>
      <c r="D114" s="7" t="n">
        <v>1</v>
      </c>
      <c r="E114" s="7" t="inlineStr">
        <is>
          <t>Emergent (EA)</t>
        </is>
      </c>
      <c r="F114" s="8" t="n">
        <v>65</v>
      </c>
      <c r="G114" s="9" t="n">
        <v>1</v>
      </c>
      <c r="H114" s="10" t="n">
        <v>0.7163740892427104</v>
      </c>
      <c r="I114" s="11" t="n">
        <v>1</v>
      </c>
      <c r="J114" s="8" t="n">
        <v>65</v>
      </c>
      <c r="K114" s="10" t="n">
        <v>0.4921198997334014</v>
      </c>
      <c r="L114" s="10" t="n">
        <v>0</v>
      </c>
    </row>
    <row r="115">
      <c r="A115" s="7" t="n">
        <v>4</v>
      </c>
      <c r="B115" s="7" t="n">
        <v>24</v>
      </c>
      <c r="C115" s="7" t="n">
        <v>12</v>
      </c>
      <c r="D115" s="7" t="n">
        <v>1</v>
      </c>
      <c r="E115" s="7" t="inlineStr">
        <is>
          <t>Emergent (EA)</t>
        </is>
      </c>
      <c r="F115" s="8" t="n">
        <v>132</v>
      </c>
      <c r="G115" s="9" t="n">
        <v>1</v>
      </c>
      <c r="H115" s="10" t="n">
        <v>0.6599484279797564</v>
      </c>
      <c r="I115" s="11" t="n">
        <v>1</v>
      </c>
      <c r="J115" s="8" t="n">
        <v>132</v>
      </c>
      <c r="K115" s="10" t="n">
        <v>0.4879701262802136</v>
      </c>
      <c r="L115" s="10" t="n">
        <v>0</v>
      </c>
    </row>
    <row r="116">
      <c r="A116" s="7" t="n">
        <v>4</v>
      </c>
      <c r="B116" s="7" t="n">
        <v>25</v>
      </c>
      <c r="C116" s="7" t="n">
        <v>12</v>
      </c>
      <c r="D116" s="7" t="n">
        <v>1</v>
      </c>
      <c r="E116" s="7" t="inlineStr">
        <is>
          <t>Emergent (EA)</t>
        </is>
      </c>
      <c r="F116" s="8" t="n">
        <v>89</v>
      </c>
      <c r="G116" s="9" t="n">
        <v>1</v>
      </c>
      <c r="H116" s="10" t="n">
        <v>0.6036921607159157</v>
      </c>
      <c r="I116" s="11" t="n">
        <v>1</v>
      </c>
      <c r="J116" s="8" t="n">
        <v>89</v>
      </c>
      <c r="K116" s="10" t="n">
        <v>0.5267566419455908</v>
      </c>
      <c r="L116" s="10" t="n">
        <v>0</v>
      </c>
    </row>
    <row r="117">
      <c r="A117" s="7" t="n">
        <v>4</v>
      </c>
      <c r="B117" s="7" t="n">
        <v>26</v>
      </c>
      <c r="C117" s="7" t="n">
        <v>12</v>
      </c>
      <c r="D117" s="7" t="n">
        <v>1</v>
      </c>
      <c r="E117" s="7" t="inlineStr">
        <is>
          <t>Emergent (EA)</t>
        </is>
      </c>
      <c r="F117" s="8" t="n">
        <v>92</v>
      </c>
      <c r="G117" s="9" t="n">
        <v>1</v>
      </c>
      <c r="H117" s="10" t="n">
        <v>0.6763716218618973</v>
      </c>
      <c r="I117" s="11" t="n">
        <v>1</v>
      </c>
      <c r="J117" s="8" t="n">
        <v>92</v>
      </c>
      <c r="K117" s="10" t="n">
        <v>0.4609948345931445</v>
      </c>
      <c r="L117" s="10" t="n">
        <v>0</v>
      </c>
    </row>
    <row r="118">
      <c r="A118" s="7" t="n">
        <v>4</v>
      </c>
      <c r="B118" s="7" t="n">
        <v>27</v>
      </c>
      <c r="C118" s="7" t="n">
        <v>12</v>
      </c>
      <c r="D118" s="7" t="n">
        <v>1</v>
      </c>
      <c r="E118" s="7" t="inlineStr">
        <is>
          <t>Emergent (EA)</t>
        </is>
      </c>
      <c r="F118" s="8" t="n">
        <v>117</v>
      </c>
      <c r="G118" s="9" t="n">
        <v>1</v>
      </c>
      <c r="H118" s="10" t="n">
        <v>0.7054048247847646</v>
      </c>
      <c r="I118" s="11" t="n">
        <v>1</v>
      </c>
      <c r="J118" s="8" t="n">
        <v>117</v>
      </c>
      <c r="K118" s="10" t="n">
        <v>0.5407586182026892</v>
      </c>
      <c r="L118" s="10" t="n">
        <v>0</v>
      </c>
    </row>
    <row r="119">
      <c r="A119" s="7" t="n">
        <v>4</v>
      </c>
      <c r="B119" s="7" t="n">
        <v>28</v>
      </c>
      <c r="C119" s="7" t="n">
        <v>12</v>
      </c>
      <c r="D119" s="7" t="n">
        <v>1</v>
      </c>
      <c r="E119" s="7" t="inlineStr">
        <is>
          <t>Emergent (EA)</t>
        </is>
      </c>
      <c r="F119" s="8" t="n">
        <v>102</v>
      </c>
      <c r="G119" s="9" t="n">
        <v>1</v>
      </c>
      <c r="H119" s="10" t="n">
        <v>0.6554421060245623</v>
      </c>
      <c r="I119" s="11" t="n">
        <v>1</v>
      </c>
      <c r="J119" s="8" t="n">
        <v>102</v>
      </c>
      <c r="K119" s="10" t="n">
        <v>0.5162356471393207</v>
      </c>
      <c r="L119" s="10" t="n">
        <v>0</v>
      </c>
    </row>
    <row r="120">
      <c r="A120" s="7" t="n">
        <v>4</v>
      </c>
      <c r="B120" s="7" t="n">
        <v>29</v>
      </c>
      <c r="C120" s="7" t="n">
        <v>12</v>
      </c>
      <c r="D120" s="7" t="n">
        <v>1</v>
      </c>
      <c r="E120" s="7" t="inlineStr">
        <is>
          <t>Emergent (EA)</t>
        </is>
      </c>
      <c r="F120" s="8" t="n">
        <v>55</v>
      </c>
      <c r="G120" s="9" t="n">
        <v>1</v>
      </c>
      <c r="H120" s="10" t="n">
        <v>2.396326379218134</v>
      </c>
      <c r="I120" s="11" t="n">
        <v>1</v>
      </c>
      <c r="J120" s="8" t="n">
        <v>55</v>
      </c>
      <c r="K120" s="10" t="n">
        <v>1.823934655836629</v>
      </c>
      <c r="L120" s="10" t="n">
        <v>0</v>
      </c>
    </row>
    <row r="121">
      <c r="A121" s="7" t="n">
        <v>4</v>
      </c>
      <c r="B121" s="7" t="n">
        <v>30</v>
      </c>
      <c r="C121" s="7" t="n">
        <v>12</v>
      </c>
      <c r="D121" s="7" t="n">
        <v>1</v>
      </c>
      <c r="E121" s="7" t="inlineStr">
        <is>
          <t>Emergent (EA)</t>
        </is>
      </c>
      <c r="F121" s="8" t="n">
        <v>57</v>
      </c>
      <c r="G121" s="9" t="n">
        <v>1</v>
      </c>
      <c r="H121" s="10" t="n">
        <v>2.16561376933418</v>
      </c>
      <c r="I121" s="11" t="n">
        <v>1</v>
      </c>
      <c r="J121" s="8" t="n">
        <v>57</v>
      </c>
      <c r="K121" s="10" t="n">
        <v>0.4132559637539854</v>
      </c>
      <c r="L121" s="10" t="n">
        <v>0</v>
      </c>
    </row>
    <row r="122">
      <c r="A122" s="7" t="n">
        <v>5</v>
      </c>
      <c r="B122" s="7" t="n">
        <v>1</v>
      </c>
      <c r="C122" s="7" t="n">
        <v>12</v>
      </c>
      <c r="D122" s="7" t="n">
        <v>2</v>
      </c>
      <c r="E122" s="7" t="inlineStr">
        <is>
          <t>Emergent (EA)</t>
        </is>
      </c>
      <c r="F122" s="8" t="n">
        <v>71</v>
      </c>
      <c r="G122" s="9" t="n">
        <v>1</v>
      </c>
      <c r="H122" s="10" t="n">
        <v>2.12058609763317</v>
      </c>
      <c r="I122" s="11" t="n">
        <v>2</v>
      </c>
      <c r="J122" s="8" t="n">
        <v>23</v>
      </c>
      <c r="K122" s="10" t="n">
        <v>2.108777178917774</v>
      </c>
      <c r="L122" s="10" t="n">
        <v>0.004694835680751174</v>
      </c>
    </row>
    <row r="123">
      <c r="A123" s="7" t="n">
        <v>5</v>
      </c>
      <c r="B123" s="7" t="n">
        <v>2</v>
      </c>
      <c r="C123" s="7" t="n">
        <v>12</v>
      </c>
      <c r="D123" s="7" t="n">
        <v>2</v>
      </c>
      <c r="E123" s="7" t="inlineStr">
        <is>
          <t>Emergent (EA)</t>
        </is>
      </c>
      <c r="F123" s="8" t="n">
        <v>168</v>
      </c>
      <c r="G123" s="9" t="n">
        <v>1</v>
      </c>
      <c r="H123" s="10" t="n">
        <v>0.8158988270699117</v>
      </c>
      <c r="I123" s="11" t="n">
        <v>2</v>
      </c>
      <c r="J123" s="8" t="n">
        <v>113</v>
      </c>
      <c r="K123" s="10" t="n">
        <v>0.8558068509563438</v>
      </c>
      <c r="L123" s="10" t="n">
        <v>0.000992063492063492</v>
      </c>
    </row>
    <row r="124">
      <c r="A124" s="7" t="n">
        <v>5</v>
      </c>
      <c r="B124" s="7" t="n">
        <v>3</v>
      </c>
      <c r="C124" s="7" t="n">
        <v>12</v>
      </c>
      <c r="D124" s="7" t="n">
        <v>2</v>
      </c>
      <c r="E124" s="7" t="inlineStr">
        <is>
          <t>Emergent (EA)</t>
        </is>
      </c>
      <c r="F124" s="8" t="n">
        <v>197</v>
      </c>
      <c r="G124" s="9" t="n">
        <v>1</v>
      </c>
      <c r="H124" s="10" t="n">
        <v>0.6742613338465916</v>
      </c>
      <c r="I124" s="11" t="n">
        <v>2</v>
      </c>
      <c r="J124" s="8" t="n">
        <v>153</v>
      </c>
      <c r="K124" s="10" t="n">
        <v>0.5307713124021267</v>
      </c>
      <c r="L124" s="10" t="n">
        <v>0.005076142131979695</v>
      </c>
    </row>
    <row r="125">
      <c r="A125" s="7" t="n">
        <v>5</v>
      </c>
      <c r="B125" s="7" t="n">
        <v>4</v>
      </c>
      <c r="C125" s="7" t="n">
        <v>12</v>
      </c>
      <c r="D125" s="7" t="n">
        <v>2</v>
      </c>
      <c r="E125" s="7" t="inlineStr">
        <is>
          <t>Emergent (EA)</t>
        </is>
      </c>
      <c r="F125" s="8" t="n">
        <v>227</v>
      </c>
      <c r="G125" s="9" t="n">
        <v>1</v>
      </c>
      <c r="H125" s="10" t="n">
        <v>0.7152252582480366</v>
      </c>
      <c r="I125" s="11" t="n">
        <v>2</v>
      </c>
      <c r="J125" s="8" t="n">
        <v>97</v>
      </c>
      <c r="K125" s="10" t="n">
        <v>0.4561214919101945</v>
      </c>
      <c r="L125" s="10" t="n">
        <v>0.01395007342143906</v>
      </c>
    </row>
    <row r="126">
      <c r="A126" s="7" t="n">
        <v>5</v>
      </c>
      <c r="B126" s="7" t="n">
        <v>5</v>
      </c>
      <c r="C126" s="7" t="n">
        <v>12</v>
      </c>
      <c r="D126" s="7" t="n">
        <v>2</v>
      </c>
      <c r="E126" s="7" t="inlineStr">
        <is>
          <t>Emergent (EA)</t>
        </is>
      </c>
      <c r="F126" s="8" t="n">
        <v>137</v>
      </c>
      <c r="G126" s="9" t="n">
        <v>1</v>
      </c>
      <c r="H126" s="10" t="n">
        <v>0.65358579435847</v>
      </c>
      <c r="I126" s="11" t="n">
        <v>2</v>
      </c>
      <c r="J126" s="8" t="n">
        <v>93</v>
      </c>
      <c r="K126" s="10" t="n">
        <v>0.522516762886432</v>
      </c>
      <c r="L126" s="10" t="n">
        <v>0</v>
      </c>
    </row>
    <row r="127">
      <c r="A127" s="7" t="n">
        <v>5</v>
      </c>
      <c r="B127" s="7" t="n">
        <v>6</v>
      </c>
      <c r="C127" s="7" t="n">
        <v>12</v>
      </c>
      <c r="D127" s="7" t="n">
        <v>2</v>
      </c>
      <c r="E127" s="7" t="inlineStr">
        <is>
          <t>Emergent (EA)</t>
        </is>
      </c>
      <c r="F127" s="8" t="n">
        <v>219</v>
      </c>
      <c r="G127" s="9" t="n">
        <v>1</v>
      </c>
      <c r="H127" s="10" t="n">
        <v>1.207272812056118</v>
      </c>
      <c r="I127" s="11" t="n">
        <v>2</v>
      </c>
      <c r="J127" s="8" t="n">
        <v>107</v>
      </c>
      <c r="K127" s="10" t="n">
        <v>0.8723779802533862</v>
      </c>
      <c r="L127" s="10" t="n">
        <v>0.00380517503805175</v>
      </c>
    </row>
    <row r="128">
      <c r="A128" s="7" t="n">
        <v>5</v>
      </c>
      <c r="B128" s="7" t="n">
        <v>7</v>
      </c>
      <c r="C128" s="7" t="n">
        <v>12</v>
      </c>
      <c r="D128" s="7" t="n">
        <v>2</v>
      </c>
      <c r="E128" s="7" t="inlineStr">
        <is>
          <t>Emergent (EA)</t>
        </is>
      </c>
      <c r="F128" s="8" t="n">
        <v>81</v>
      </c>
      <c r="G128" s="9" t="n">
        <v>1</v>
      </c>
      <c r="H128" s="10" t="n">
        <v>0.6091873994100303</v>
      </c>
      <c r="I128" s="11" t="n">
        <v>2</v>
      </c>
      <c r="J128" s="8" t="n">
        <v>37</v>
      </c>
      <c r="K128" s="10" t="n">
        <v>0.5773236600732948</v>
      </c>
      <c r="L128" s="10" t="n">
        <v>0.01234567901234568</v>
      </c>
    </row>
    <row r="129">
      <c r="A129" s="7" t="n">
        <v>5</v>
      </c>
      <c r="B129" s="7" t="n">
        <v>8</v>
      </c>
      <c r="C129" s="7" t="n">
        <v>12</v>
      </c>
      <c r="D129" s="7" t="n">
        <v>2</v>
      </c>
      <c r="E129" s="7" t="inlineStr">
        <is>
          <t>Emergent (EA)</t>
        </is>
      </c>
      <c r="F129" s="8" t="n">
        <v>177</v>
      </c>
      <c r="G129" s="9" t="n">
        <v>1</v>
      </c>
      <c r="H129" s="10" t="n">
        <v>0.6300008398791592</v>
      </c>
      <c r="I129" s="11" t="n">
        <v>2</v>
      </c>
      <c r="J129" s="8" t="n">
        <v>136</v>
      </c>
      <c r="K129" s="10" t="n">
        <v>0.4478023186608516</v>
      </c>
      <c r="L129" s="10" t="n">
        <v>0</v>
      </c>
    </row>
    <row r="130">
      <c r="A130" s="7" t="n">
        <v>5</v>
      </c>
      <c r="B130" s="7" t="n">
        <v>9</v>
      </c>
      <c r="C130" s="7" t="n">
        <v>12</v>
      </c>
      <c r="D130" s="7" t="n">
        <v>2</v>
      </c>
      <c r="E130" s="7" t="inlineStr">
        <is>
          <t>Emergent (EA)</t>
        </is>
      </c>
      <c r="F130" s="8" t="n">
        <v>130</v>
      </c>
      <c r="G130" s="9" t="n">
        <v>1</v>
      </c>
      <c r="H130" s="10" t="n">
        <v>1.466392686944521</v>
      </c>
      <c r="I130" s="11" t="n">
        <v>2</v>
      </c>
      <c r="J130" s="8" t="n">
        <v>55</v>
      </c>
      <c r="K130" s="10" t="n">
        <v>0.4891680681131196</v>
      </c>
      <c r="L130" s="10" t="n">
        <v>0.01025641025641026</v>
      </c>
    </row>
    <row r="131">
      <c r="A131" s="7" t="n">
        <v>5</v>
      </c>
      <c r="B131" s="7" t="n">
        <v>10</v>
      </c>
      <c r="C131" s="7" t="n">
        <v>12</v>
      </c>
      <c r="D131" s="7" t="n">
        <v>2</v>
      </c>
      <c r="E131" s="7" t="inlineStr">
        <is>
          <t>Emergent (EA)</t>
        </is>
      </c>
      <c r="F131" s="8" t="n">
        <v>72</v>
      </c>
      <c r="G131" s="9" t="n">
        <v>1</v>
      </c>
      <c r="H131" s="10" t="n">
        <v>0.909744051371822</v>
      </c>
      <c r="I131" s="11" t="n">
        <v>2</v>
      </c>
      <c r="J131" s="8" t="n">
        <v>46</v>
      </c>
      <c r="K131" s="10" t="n">
        <v>0.7764782714649199</v>
      </c>
      <c r="L131" s="10" t="n">
        <v>0</v>
      </c>
    </row>
    <row r="132">
      <c r="A132" s="7" t="n">
        <v>5</v>
      </c>
      <c r="B132" s="7" t="n">
        <v>11</v>
      </c>
      <c r="C132" s="7" t="n">
        <v>12</v>
      </c>
      <c r="D132" s="7" t="n">
        <v>2</v>
      </c>
      <c r="E132" s="7" t="inlineStr">
        <is>
          <t>Emergent (EA)</t>
        </is>
      </c>
      <c r="F132" s="8" t="n">
        <v>291</v>
      </c>
      <c r="G132" s="9" t="n">
        <v>1</v>
      </c>
      <c r="H132" s="10" t="n">
        <v>0.6139686984961201</v>
      </c>
      <c r="I132" s="11" t="n">
        <v>2</v>
      </c>
      <c r="J132" s="8" t="n">
        <v>128</v>
      </c>
      <c r="K132" s="10" t="n">
        <v>0.53616457692651</v>
      </c>
      <c r="L132" s="10" t="n">
        <v>0.000572737686139748</v>
      </c>
    </row>
    <row r="133">
      <c r="A133" s="7" t="n">
        <v>5</v>
      </c>
      <c r="B133" s="7" t="n">
        <v>12</v>
      </c>
      <c r="C133" s="7" t="n">
        <v>12</v>
      </c>
      <c r="D133" s="7" t="n">
        <v>2</v>
      </c>
      <c r="E133" s="7" t="inlineStr">
        <is>
          <t>Emergent (EA)</t>
        </is>
      </c>
      <c r="F133" s="8" t="n">
        <v>334</v>
      </c>
      <c r="G133" s="9" t="n">
        <v>1</v>
      </c>
      <c r="H133" s="10" t="n">
        <v>0.6028740724851515</v>
      </c>
      <c r="I133" s="11" t="n">
        <v>2</v>
      </c>
      <c r="J133" s="8" t="n">
        <v>231</v>
      </c>
      <c r="K133" s="10" t="n">
        <v>0.5166341825533951</v>
      </c>
      <c r="L133" s="10" t="n">
        <v>0.005738522954091816</v>
      </c>
    </row>
    <row r="134">
      <c r="A134" s="7" t="n">
        <v>5</v>
      </c>
      <c r="B134" s="7" t="n">
        <v>13</v>
      </c>
      <c r="C134" s="7" t="n">
        <v>12</v>
      </c>
      <c r="D134" s="7" t="n">
        <v>2</v>
      </c>
      <c r="E134" s="7" t="inlineStr">
        <is>
          <t>Emergent (EA)</t>
        </is>
      </c>
      <c r="F134" s="8" t="n">
        <v>202</v>
      </c>
      <c r="G134" s="9" t="n">
        <v>1</v>
      </c>
      <c r="H134" s="10" t="n">
        <v>0.6881028609940729</v>
      </c>
      <c r="I134" s="11" t="n">
        <v>2</v>
      </c>
      <c r="J134" s="8" t="n">
        <v>104</v>
      </c>
      <c r="K134" s="10" t="n">
        <v>0.5920352711619136</v>
      </c>
      <c r="L134" s="10" t="n">
        <v>0.007838283828382838</v>
      </c>
    </row>
    <row r="135">
      <c r="A135" s="7" t="n">
        <v>5</v>
      </c>
      <c r="B135" s="7" t="n">
        <v>14</v>
      </c>
      <c r="C135" s="7" t="n">
        <v>12</v>
      </c>
      <c r="D135" s="7" t="n">
        <v>2</v>
      </c>
      <c r="E135" s="7" t="inlineStr">
        <is>
          <t>Emergent (EA)</t>
        </is>
      </c>
      <c r="F135" s="8" t="n">
        <v>557</v>
      </c>
      <c r="G135" s="9" t="n">
        <v>1</v>
      </c>
      <c r="H135" s="10" t="n">
        <v>0.6838929758404507</v>
      </c>
      <c r="I135" s="11" t="n">
        <v>2</v>
      </c>
      <c r="J135" s="8" t="n">
        <v>56</v>
      </c>
      <c r="K135" s="10" t="n">
        <v>0.5142366323276591</v>
      </c>
      <c r="L135" s="10" t="n">
        <v>0.01316576900059844</v>
      </c>
    </row>
    <row r="136">
      <c r="A136" s="7" t="n">
        <v>5</v>
      </c>
      <c r="B136" s="7" t="n">
        <v>15</v>
      </c>
      <c r="C136" s="7" t="n">
        <v>12</v>
      </c>
      <c r="D136" s="7" t="n">
        <v>2</v>
      </c>
      <c r="E136" s="7" t="inlineStr">
        <is>
          <t>Emergent (EA)</t>
        </is>
      </c>
      <c r="F136" s="8" t="n">
        <v>209</v>
      </c>
      <c r="G136" s="9" t="n">
        <v>1</v>
      </c>
      <c r="H136" s="10" t="n">
        <v>0.6426964452922664</v>
      </c>
      <c r="I136" s="11" t="n">
        <v>2</v>
      </c>
      <c r="J136" s="8" t="n">
        <v>112</v>
      </c>
      <c r="K136" s="10" t="n">
        <v>0.5186230382894612</v>
      </c>
      <c r="L136" s="10" t="n">
        <v>0.003588516746411483</v>
      </c>
    </row>
    <row r="137">
      <c r="A137" s="7" t="n">
        <v>5</v>
      </c>
      <c r="B137" s="7" t="n">
        <v>16</v>
      </c>
      <c r="C137" s="7" t="n">
        <v>12</v>
      </c>
      <c r="D137" s="7" t="n">
        <v>2</v>
      </c>
      <c r="E137" s="7" t="inlineStr">
        <is>
          <t>Emergent (EA)</t>
        </is>
      </c>
      <c r="F137" s="8" t="n">
        <v>112</v>
      </c>
      <c r="G137" s="9" t="n">
        <v>1</v>
      </c>
      <c r="H137" s="10" t="n">
        <v>0.8366729697064731</v>
      </c>
      <c r="I137" s="11" t="n">
        <v>2</v>
      </c>
      <c r="J137" s="8" t="n">
        <v>60</v>
      </c>
      <c r="K137" s="10" t="n">
        <v>0.5194856038923763</v>
      </c>
      <c r="L137" s="10" t="n">
        <v>0.002976190476190476</v>
      </c>
    </row>
    <row r="138">
      <c r="A138" s="7" t="n">
        <v>5</v>
      </c>
      <c r="B138" s="7" t="n">
        <v>17</v>
      </c>
      <c r="C138" s="7" t="n">
        <v>12</v>
      </c>
      <c r="D138" s="7" t="n">
        <v>2</v>
      </c>
      <c r="E138" s="7" t="inlineStr">
        <is>
          <t>Emergent (EA)</t>
        </is>
      </c>
      <c r="F138" s="8" t="n">
        <v>173</v>
      </c>
      <c r="G138" s="9" t="n">
        <v>1</v>
      </c>
      <c r="H138" s="10" t="n">
        <v>0.584649971663873</v>
      </c>
      <c r="I138" s="11" t="n">
        <v>2</v>
      </c>
      <c r="J138" s="8" t="n">
        <v>78</v>
      </c>
      <c r="K138" s="10" t="n">
        <v>0.5550746104890195</v>
      </c>
      <c r="L138" s="10" t="n">
        <v>0.01541425818882466</v>
      </c>
    </row>
    <row r="139">
      <c r="A139" s="7" t="n">
        <v>5</v>
      </c>
      <c r="B139" s="7" t="n">
        <v>18</v>
      </c>
      <c r="C139" s="7" t="n">
        <v>12</v>
      </c>
      <c r="D139" s="7" t="n">
        <v>2</v>
      </c>
      <c r="E139" s="7" t="inlineStr">
        <is>
          <t>Emergent (EA)</t>
        </is>
      </c>
      <c r="F139" s="8" t="n">
        <v>119</v>
      </c>
      <c r="G139" s="9" t="n">
        <v>1</v>
      </c>
      <c r="H139" s="10" t="n">
        <v>0.6031133071784517</v>
      </c>
      <c r="I139" s="11" t="n">
        <v>2</v>
      </c>
      <c r="J139" s="8" t="n">
        <v>88</v>
      </c>
      <c r="K139" s="10" t="n">
        <v>0.5142923737113783</v>
      </c>
      <c r="L139" s="10" t="n">
        <v>0</v>
      </c>
    </row>
    <row r="140">
      <c r="A140" s="7" t="n">
        <v>5</v>
      </c>
      <c r="B140" s="7" t="n">
        <v>19</v>
      </c>
      <c r="C140" s="7" t="n">
        <v>12</v>
      </c>
      <c r="D140" s="7" t="n">
        <v>2</v>
      </c>
      <c r="E140" s="7" t="inlineStr">
        <is>
          <t>Emergent (EA)</t>
        </is>
      </c>
      <c r="F140" s="8" t="n">
        <v>127</v>
      </c>
      <c r="G140" s="9" t="n">
        <v>1</v>
      </c>
      <c r="H140" s="10" t="n">
        <v>0.5798446876544718</v>
      </c>
      <c r="I140" s="11" t="n">
        <v>2</v>
      </c>
      <c r="J140" s="8" t="n">
        <v>79</v>
      </c>
      <c r="K140" s="10" t="n">
        <v>0.4572489153943277</v>
      </c>
      <c r="L140" s="10" t="n">
        <v>0.01312335958005249</v>
      </c>
    </row>
    <row r="141">
      <c r="A141" s="7" t="n">
        <v>5</v>
      </c>
      <c r="B141" s="7" t="n">
        <v>20</v>
      </c>
      <c r="C141" s="7" t="n">
        <v>12</v>
      </c>
      <c r="D141" s="7" t="n">
        <v>2</v>
      </c>
      <c r="E141" s="7" t="inlineStr">
        <is>
          <t>Emergent (EA)</t>
        </is>
      </c>
      <c r="F141" s="8" t="n">
        <v>396</v>
      </c>
      <c r="G141" s="9" t="n">
        <v>1</v>
      </c>
      <c r="H141" s="10" t="n">
        <v>0.6019870302940422</v>
      </c>
      <c r="I141" s="11" t="n">
        <v>2</v>
      </c>
      <c r="J141" s="8" t="n">
        <v>304</v>
      </c>
      <c r="K141" s="10" t="n">
        <v>0.4723028052713162</v>
      </c>
      <c r="L141" s="10" t="n">
        <v>0.00946969696969697</v>
      </c>
    </row>
    <row r="142">
      <c r="A142" s="7" t="n">
        <v>5</v>
      </c>
      <c r="B142" s="7" t="n">
        <v>21</v>
      </c>
      <c r="C142" s="7" t="n">
        <v>12</v>
      </c>
      <c r="D142" s="7" t="n">
        <v>2</v>
      </c>
      <c r="E142" s="7" t="inlineStr">
        <is>
          <t>Emergent (EA)</t>
        </is>
      </c>
      <c r="F142" s="8" t="n">
        <v>192</v>
      </c>
      <c r="G142" s="9" t="n">
        <v>1</v>
      </c>
      <c r="H142" s="10" t="n">
        <v>0.9182660847090794</v>
      </c>
      <c r="I142" s="11" t="n">
        <v>2</v>
      </c>
      <c r="J142" s="8" t="n">
        <v>62</v>
      </c>
      <c r="K142" s="10" t="n">
        <v>0.6003507468905894</v>
      </c>
      <c r="L142" s="10" t="n">
        <v>0.008680555555555556</v>
      </c>
    </row>
    <row r="143">
      <c r="A143" s="7" t="n">
        <v>5</v>
      </c>
      <c r="B143" s="7" t="n">
        <v>22</v>
      </c>
      <c r="C143" s="7" t="n">
        <v>12</v>
      </c>
      <c r="D143" s="7" t="n">
        <v>2</v>
      </c>
      <c r="E143" s="7" t="inlineStr">
        <is>
          <t>Emergent (EA)</t>
        </is>
      </c>
      <c r="F143" s="8" t="n">
        <v>168</v>
      </c>
      <c r="G143" s="9" t="n">
        <v>1</v>
      </c>
      <c r="H143" s="10" t="n">
        <v>0.7157188823734852</v>
      </c>
      <c r="I143" s="11" t="n">
        <v>2</v>
      </c>
      <c r="J143" s="8" t="n">
        <v>134</v>
      </c>
      <c r="K143" s="10" t="n">
        <v>0.6173702162650532</v>
      </c>
      <c r="L143" s="10" t="n">
        <v>0</v>
      </c>
    </row>
    <row r="144">
      <c r="A144" s="7" t="n">
        <v>5</v>
      </c>
      <c r="B144" s="7" t="n">
        <v>23</v>
      </c>
      <c r="C144" s="7" t="n">
        <v>12</v>
      </c>
      <c r="D144" s="7" t="n">
        <v>2</v>
      </c>
      <c r="E144" s="7" t="inlineStr">
        <is>
          <t>Emergent (EA)</t>
        </is>
      </c>
      <c r="F144" s="8" t="n">
        <v>78</v>
      </c>
      <c r="G144" s="9" t="n">
        <v>1</v>
      </c>
      <c r="H144" s="10" t="n">
        <v>2.291354756954512</v>
      </c>
      <c r="I144" s="11" t="n">
        <v>2</v>
      </c>
      <c r="J144" s="8" t="n">
        <v>42</v>
      </c>
      <c r="K144" s="10" t="n">
        <v>2.499166334870424</v>
      </c>
      <c r="L144" s="10" t="n">
        <v>0.00641025641025641</v>
      </c>
    </row>
    <row r="145">
      <c r="A145" s="7" t="n">
        <v>5</v>
      </c>
      <c r="B145" s="7" t="n">
        <v>24</v>
      </c>
      <c r="C145" s="7" t="n">
        <v>12</v>
      </c>
      <c r="D145" s="7" t="n">
        <v>2</v>
      </c>
      <c r="E145" s="7" t="inlineStr">
        <is>
          <t>Emergent (EA)</t>
        </is>
      </c>
      <c r="F145" s="8" t="n">
        <v>257</v>
      </c>
      <c r="G145" s="9" t="n">
        <v>1</v>
      </c>
      <c r="H145" s="10" t="n">
        <v>0.612493964127435</v>
      </c>
      <c r="I145" s="11" t="n">
        <v>2</v>
      </c>
      <c r="J145" s="8" t="n">
        <v>88</v>
      </c>
      <c r="K145" s="10" t="n">
        <v>0.4746033287638264</v>
      </c>
      <c r="L145" s="10" t="n">
        <v>0.005512321660181583</v>
      </c>
    </row>
    <row r="146">
      <c r="A146" s="7" t="n">
        <v>5</v>
      </c>
      <c r="B146" s="7" t="n">
        <v>25</v>
      </c>
      <c r="C146" s="7" t="n">
        <v>12</v>
      </c>
      <c r="D146" s="7" t="n">
        <v>2</v>
      </c>
      <c r="E146" s="7" t="inlineStr">
        <is>
          <t>Emergent (EA)</t>
        </is>
      </c>
      <c r="F146" s="8" t="n">
        <v>186</v>
      </c>
      <c r="G146" s="9" t="n">
        <v>1</v>
      </c>
      <c r="H146" s="10" t="n">
        <v>0.6078731386237533</v>
      </c>
      <c r="I146" s="11" t="n">
        <v>2</v>
      </c>
      <c r="J146" s="8" t="n">
        <v>112</v>
      </c>
      <c r="K146" s="10" t="n">
        <v>0.5145096836060652</v>
      </c>
      <c r="L146" s="10" t="n">
        <v>0.0004480286738351254</v>
      </c>
    </row>
    <row r="147">
      <c r="A147" s="7" t="n">
        <v>5</v>
      </c>
      <c r="B147" s="7" t="n">
        <v>26</v>
      </c>
      <c r="C147" s="7" t="n">
        <v>12</v>
      </c>
      <c r="D147" s="7" t="n">
        <v>2</v>
      </c>
      <c r="E147" s="7" t="inlineStr">
        <is>
          <t>Emergent (EA)</t>
        </is>
      </c>
      <c r="F147" s="8" t="n">
        <v>88</v>
      </c>
      <c r="G147" s="9" t="n">
        <v>1</v>
      </c>
      <c r="H147" s="10" t="n">
        <v>1.308049023773048</v>
      </c>
      <c r="I147" s="11" t="n">
        <v>2</v>
      </c>
      <c r="J147" s="8" t="n">
        <v>50</v>
      </c>
      <c r="K147" s="10" t="n">
        <v>0.9548118583056058</v>
      </c>
      <c r="L147" s="10" t="n">
        <v>0.002840909090909091</v>
      </c>
    </row>
    <row r="148">
      <c r="A148" s="7" t="n">
        <v>5</v>
      </c>
      <c r="B148" s="7" t="n">
        <v>27</v>
      </c>
      <c r="C148" s="7" t="n">
        <v>12</v>
      </c>
      <c r="D148" s="7" t="n">
        <v>2</v>
      </c>
      <c r="E148" s="7" t="inlineStr">
        <is>
          <t>Emergent (EA)</t>
        </is>
      </c>
      <c r="F148" s="8" t="n">
        <v>185</v>
      </c>
      <c r="G148" s="9" t="n">
        <v>1</v>
      </c>
      <c r="H148" s="10" t="n">
        <v>0.6354105154381897</v>
      </c>
      <c r="I148" s="11" t="n">
        <v>2</v>
      </c>
      <c r="J148" s="8" t="n">
        <v>85</v>
      </c>
      <c r="K148" s="10" t="n">
        <v>0.5211534871358547</v>
      </c>
      <c r="L148" s="10" t="n">
        <v>0.009009009009009009</v>
      </c>
    </row>
    <row r="149">
      <c r="A149" s="7" t="n">
        <v>5</v>
      </c>
      <c r="B149" s="7" t="n">
        <v>28</v>
      </c>
      <c r="C149" s="7" t="n">
        <v>12</v>
      </c>
      <c r="D149" s="7" t="n">
        <v>2</v>
      </c>
      <c r="E149" s="7" t="inlineStr">
        <is>
          <t>Emergent (EA)</t>
        </is>
      </c>
      <c r="F149" s="8" t="n">
        <v>350</v>
      </c>
      <c r="G149" s="9" t="n">
        <v>1</v>
      </c>
      <c r="H149" s="10" t="n">
        <v>0.5925581457198718</v>
      </c>
      <c r="I149" s="11" t="n">
        <v>2</v>
      </c>
      <c r="J149" s="8" t="n">
        <v>157</v>
      </c>
      <c r="K149" s="10" t="n">
        <v>0.4813556291878333</v>
      </c>
      <c r="L149" s="10" t="n">
        <v>0.009285714285714286</v>
      </c>
    </row>
    <row r="150">
      <c r="A150" s="7" t="n">
        <v>5</v>
      </c>
      <c r="B150" s="7" t="n">
        <v>29</v>
      </c>
      <c r="C150" s="7" t="n">
        <v>12</v>
      </c>
      <c r="D150" s="7" t="n">
        <v>2</v>
      </c>
      <c r="E150" s="7" t="inlineStr">
        <is>
          <t>Emergent (EA)</t>
        </is>
      </c>
      <c r="F150" s="8" t="n">
        <v>185</v>
      </c>
      <c r="G150" s="9" t="n">
        <v>1</v>
      </c>
      <c r="H150" s="10" t="n">
        <v>1.594330227013388</v>
      </c>
      <c r="I150" s="11" t="n">
        <v>2</v>
      </c>
      <c r="J150" s="8" t="n">
        <v>84</v>
      </c>
      <c r="K150" s="10" t="n">
        <v>0.5037622328915448</v>
      </c>
      <c r="L150" s="10" t="n">
        <v>0.0004504504504504505</v>
      </c>
    </row>
    <row r="151">
      <c r="A151" s="7" t="n">
        <v>5</v>
      </c>
      <c r="B151" s="7" t="n">
        <v>30</v>
      </c>
      <c r="C151" s="7" t="n">
        <v>12</v>
      </c>
      <c r="D151" s="7" t="n">
        <v>2</v>
      </c>
      <c r="E151" s="7" t="inlineStr">
        <is>
          <t>Emergent (EA)</t>
        </is>
      </c>
      <c r="F151" s="8" t="n">
        <v>119</v>
      </c>
      <c r="G151" s="9" t="n">
        <v>1</v>
      </c>
      <c r="H151" s="10" t="n">
        <v>0.6977995037280081</v>
      </c>
      <c r="I151" s="11" t="n">
        <v>2</v>
      </c>
      <c r="J151" s="8" t="n">
        <v>76</v>
      </c>
      <c r="K151" s="10" t="n">
        <v>0.487020538809248</v>
      </c>
      <c r="L151" s="10" t="n">
        <v>0.01120448179271709</v>
      </c>
    </row>
    <row r="152">
      <c r="A152" s="7" t="n">
        <v>6</v>
      </c>
      <c r="B152" s="7" t="n">
        <v>1</v>
      </c>
      <c r="C152" s="7" t="n">
        <v>12</v>
      </c>
      <c r="D152" s="7" t="n">
        <v>3</v>
      </c>
      <c r="E152" s="7" t="inlineStr">
        <is>
          <t>Emergent (EA)</t>
        </is>
      </c>
      <c r="F152" s="8" t="n">
        <v>102</v>
      </c>
      <c r="G152" s="9" t="n">
        <v>1</v>
      </c>
      <c r="H152" s="10" t="n">
        <v>2.156642164643068</v>
      </c>
      <c r="I152" s="11" t="n">
        <v>3</v>
      </c>
      <c r="J152" s="8" t="n">
        <v>34</v>
      </c>
      <c r="K152" s="10" t="n">
        <v>2.518914015655495</v>
      </c>
      <c r="L152" s="10" t="n">
        <v>0.006535947712418301</v>
      </c>
    </row>
    <row r="153">
      <c r="A153" s="7" t="n">
        <v>6</v>
      </c>
      <c r="B153" s="7" t="n">
        <v>2</v>
      </c>
      <c r="C153" s="7" t="n">
        <v>12</v>
      </c>
      <c r="D153" s="7" t="n">
        <v>3</v>
      </c>
      <c r="E153" s="7" t="inlineStr">
        <is>
          <t>Emergent (EA)</t>
        </is>
      </c>
      <c r="F153" s="8" t="n">
        <v>259</v>
      </c>
      <c r="G153" s="9" t="n">
        <v>1</v>
      </c>
      <c r="H153" s="10" t="n">
        <v>0.6071441794440874</v>
      </c>
      <c r="I153" s="11" t="n">
        <v>3</v>
      </c>
      <c r="J153" s="8" t="n">
        <v>105</v>
      </c>
      <c r="K153" s="10" t="n">
        <v>0.588356126051885</v>
      </c>
      <c r="L153" s="10" t="n">
        <v>0.008687258687258687</v>
      </c>
    </row>
    <row r="154">
      <c r="A154" s="7" t="n">
        <v>6</v>
      </c>
      <c r="B154" s="7" t="n">
        <v>3</v>
      </c>
      <c r="C154" s="7" t="n">
        <v>12</v>
      </c>
      <c r="D154" s="7" t="n">
        <v>3</v>
      </c>
      <c r="E154" s="7" t="inlineStr">
        <is>
          <t>Emergent (EA)</t>
        </is>
      </c>
      <c r="F154" s="8" t="n">
        <v>381</v>
      </c>
      <c r="G154" s="9" t="n">
        <v>1</v>
      </c>
      <c r="H154" s="10" t="n">
        <v>0.601542788432013</v>
      </c>
      <c r="I154" s="11" t="n">
        <v>3</v>
      </c>
      <c r="J154" s="8" t="n">
        <v>168</v>
      </c>
      <c r="K154" s="10" t="n">
        <v>0.4586760805115364</v>
      </c>
      <c r="L154" s="10" t="n">
        <v>0.003499562554680665</v>
      </c>
    </row>
    <row r="155">
      <c r="A155" s="7" t="n">
        <v>6</v>
      </c>
      <c r="B155" s="7" t="n">
        <v>4</v>
      </c>
      <c r="C155" s="7" t="n">
        <v>12</v>
      </c>
      <c r="D155" s="7" t="n">
        <v>3</v>
      </c>
      <c r="E155" s="7" t="inlineStr">
        <is>
          <t>Emergent (EA)</t>
        </is>
      </c>
      <c r="F155" s="8" t="n">
        <v>149</v>
      </c>
      <c r="G155" s="9" t="n">
        <v>1</v>
      </c>
      <c r="H155" s="10" t="n">
        <v>0.8323229363627699</v>
      </c>
      <c r="I155" s="11" t="n">
        <v>3</v>
      </c>
      <c r="J155" s="8" t="n">
        <v>56</v>
      </c>
      <c r="K155" s="10" t="n">
        <v>0.9067322153011478</v>
      </c>
      <c r="L155" s="10" t="n">
        <v>0.02348993288590604</v>
      </c>
    </row>
    <row r="156">
      <c r="A156" s="7" t="n">
        <v>6</v>
      </c>
      <c r="B156" s="7" t="n">
        <v>5</v>
      </c>
      <c r="C156" s="7" t="n">
        <v>12</v>
      </c>
      <c r="D156" s="7" t="n">
        <v>3</v>
      </c>
      <c r="E156" s="7" t="inlineStr">
        <is>
          <t>Emergent (EA)</t>
        </is>
      </c>
      <c r="F156" s="8" t="n">
        <v>304</v>
      </c>
      <c r="G156" s="9" t="n">
        <v>1</v>
      </c>
      <c r="H156" s="10" t="n">
        <v>0.6534424498858629</v>
      </c>
      <c r="I156" s="11" t="n">
        <v>3</v>
      </c>
      <c r="J156" s="8" t="n">
        <v>46.5</v>
      </c>
      <c r="K156" s="10" t="n">
        <v>0.5710161661394565</v>
      </c>
      <c r="L156" s="10" t="n">
        <v>0.03399122807017544</v>
      </c>
    </row>
    <row r="157">
      <c r="A157" s="7" t="n">
        <v>6</v>
      </c>
      <c r="B157" s="7" t="n">
        <v>6</v>
      </c>
      <c r="C157" s="7" t="n">
        <v>12</v>
      </c>
      <c r="D157" s="7" t="n">
        <v>3</v>
      </c>
      <c r="E157" s="7" t="inlineStr">
        <is>
          <t>Emergent (EA)</t>
        </is>
      </c>
      <c r="F157" s="8" t="n">
        <v>136</v>
      </c>
      <c r="G157" s="9" t="n">
        <v>1</v>
      </c>
      <c r="H157" s="10" t="n">
        <v>0.8302493742179344</v>
      </c>
      <c r="I157" s="11" t="n">
        <v>3</v>
      </c>
      <c r="J157" s="8" t="n">
        <v>58.5</v>
      </c>
      <c r="K157" s="10" t="n">
        <v>0.7654570335381669</v>
      </c>
      <c r="L157" s="10" t="n">
        <v>0.006127450980392157</v>
      </c>
    </row>
    <row r="158">
      <c r="A158" s="7" t="n">
        <v>6</v>
      </c>
      <c r="B158" s="7" t="n">
        <v>7</v>
      </c>
      <c r="C158" s="7" t="n">
        <v>12</v>
      </c>
      <c r="D158" s="7" t="n">
        <v>3</v>
      </c>
      <c r="E158" s="7" t="inlineStr">
        <is>
          <t>Emergent (EA)</t>
        </is>
      </c>
      <c r="F158" s="8" t="n">
        <v>235</v>
      </c>
      <c r="G158" s="9" t="n">
        <v>1</v>
      </c>
      <c r="H158" s="10" t="n">
        <v>0.870045418373718</v>
      </c>
      <c r="I158" s="11" t="n">
        <v>3</v>
      </c>
      <c r="J158" s="8" t="n">
        <v>95.5</v>
      </c>
      <c r="K158" s="10" t="n">
        <v>0.8047318531142356</v>
      </c>
      <c r="L158" s="10" t="n">
        <v>0</v>
      </c>
    </row>
    <row r="159">
      <c r="A159" s="7" t="n">
        <v>6</v>
      </c>
      <c r="B159" s="7" t="n">
        <v>8</v>
      </c>
      <c r="C159" s="7" t="n">
        <v>12</v>
      </c>
      <c r="D159" s="7" t="n">
        <v>3</v>
      </c>
      <c r="E159" s="7" t="inlineStr">
        <is>
          <t>Emergent (EA)</t>
        </is>
      </c>
      <c r="F159" s="8" t="n">
        <v>261</v>
      </c>
      <c r="G159" s="9" t="n">
        <v>1</v>
      </c>
      <c r="H159" s="10" t="n">
        <v>0.604269647777919</v>
      </c>
      <c r="I159" s="11" t="n">
        <v>3</v>
      </c>
      <c r="J159" s="8" t="n">
        <v>115.5</v>
      </c>
      <c r="K159" s="10" t="n">
        <v>0.5446708295914497</v>
      </c>
      <c r="L159" s="10" t="n">
        <v>0.0006385696040868455</v>
      </c>
    </row>
    <row r="160">
      <c r="A160" s="7" t="n">
        <v>6</v>
      </c>
      <c r="B160" s="7" t="n">
        <v>9</v>
      </c>
      <c r="C160" s="7" t="n">
        <v>12</v>
      </c>
      <c r="D160" s="7" t="n">
        <v>3</v>
      </c>
      <c r="E160" s="7" t="inlineStr">
        <is>
          <t>Emergent (EA)</t>
        </is>
      </c>
      <c r="F160" s="8" t="n">
        <v>161</v>
      </c>
      <c r="G160" s="9" t="n">
        <v>1</v>
      </c>
      <c r="H160" s="10" t="n">
        <v>1.463570983255752</v>
      </c>
      <c r="I160" s="11" t="n">
        <v>3</v>
      </c>
      <c r="J160" s="8" t="n">
        <v>65.5</v>
      </c>
      <c r="K160" s="10" t="n">
        <v>1.924684489433067</v>
      </c>
      <c r="L160" s="10" t="n">
        <v>0.002070393374741201</v>
      </c>
    </row>
    <row r="161">
      <c r="A161" s="7" t="n">
        <v>6</v>
      </c>
      <c r="B161" s="7" t="n">
        <v>10</v>
      </c>
      <c r="C161" s="7" t="n">
        <v>12</v>
      </c>
      <c r="D161" s="7" t="n">
        <v>3</v>
      </c>
      <c r="E161" s="7" t="inlineStr">
        <is>
          <t>Emergent (EA)</t>
        </is>
      </c>
      <c r="F161" s="8" t="n">
        <v>417</v>
      </c>
      <c r="G161" s="9" t="n">
        <v>1</v>
      </c>
      <c r="H161" s="10" t="n">
        <v>0.6444690300633619</v>
      </c>
      <c r="I161" s="11" t="n">
        <v>3</v>
      </c>
      <c r="J161" s="8" t="n">
        <v>132.5</v>
      </c>
      <c r="K161" s="10" t="n">
        <v>0.5364089752027955</v>
      </c>
      <c r="L161" s="10" t="n">
        <v>0.01478816946442846</v>
      </c>
    </row>
    <row r="162">
      <c r="A162" s="7" t="n">
        <v>6</v>
      </c>
      <c r="B162" s="7" t="n">
        <v>11</v>
      </c>
      <c r="C162" s="7" t="n">
        <v>12</v>
      </c>
      <c r="D162" s="7" t="n">
        <v>3</v>
      </c>
      <c r="E162" s="7" t="inlineStr">
        <is>
          <t>Emergent (EA)</t>
        </is>
      </c>
      <c r="F162" s="8" t="n">
        <v>306</v>
      </c>
      <c r="G162" s="9" t="n">
        <v>1</v>
      </c>
      <c r="H162" s="10" t="n">
        <v>0.874379390423391</v>
      </c>
      <c r="I162" s="11" t="n">
        <v>3</v>
      </c>
      <c r="J162" s="8" t="n">
        <v>110</v>
      </c>
      <c r="K162" s="10" t="n">
        <v>1.007202560667822</v>
      </c>
      <c r="L162" s="10" t="n">
        <v>0.009259259259259259</v>
      </c>
    </row>
    <row r="163">
      <c r="A163" s="7" t="n">
        <v>6</v>
      </c>
      <c r="B163" s="7" t="n">
        <v>12</v>
      </c>
      <c r="C163" s="7" t="n">
        <v>12</v>
      </c>
      <c r="D163" s="7" t="n">
        <v>3</v>
      </c>
      <c r="E163" s="7" t="inlineStr">
        <is>
          <t>Emergent (EA)</t>
        </is>
      </c>
      <c r="F163" s="8" t="n">
        <v>432</v>
      </c>
      <c r="G163" s="9" t="n">
        <v>1</v>
      </c>
      <c r="H163" s="10" t="n">
        <v>0.6857448078091463</v>
      </c>
      <c r="I163" s="11" t="n">
        <v>3</v>
      </c>
      <c r="J163" s="8" t="n">
        <v>185</v>
      </c>
      <c r="K163" s="10" t="n">
        <v>0.5705872240067635</v>
      </c>
      <c r="L163" s="10" t="n">
        <v>0.009066358024691358</v>
      </c>
    </row>
    <row r="164">
      <c r="A164" s="7" t="n">
        <v>6</v>
      </c>
      <c r="B164" s="7" t="n">
        <v>13</v>
      </c>
      <c r="C164" s="7" t="n">
        <v>12</v>
      </c>
      <c r="D164" s="7" t="n">
        <v>3</v>
      </c>
      <c r="E164" s="7" t="inlineStr">
        <is>
          <t>Emergent (EA)</t>
        </is>
      </c>
      <c r="F164" s="8" t="n">
        <v>305</v>
      </c>
      <c r="G164" s="9" t="n">
        <v>1</v>
      </c>
      <c r="H164" s="10" t="n">
        <v>0.6384426989441302</v>
      </c>
      <c r="I164" s="11" t="n">
        <v>3</v>
      </c>
      <c r="J164" s="8" t="n">
        <v>123.5</v>
      </c>
      <c r="K164" s="10" t="n">
        <v>0.6756808473118671</v>
      </c>
      <c r="L164" s="10" t="n">
        <v>0.01830601092896175</v>
      </c>
    </row>
    <row r="165">
      <c r="A165" s="7" t="n">
        <v>6</v>
      </c>
      <c r="B165" s="7" t="n">
        <v>14</v>
      </c>
      <c r="C165" s="7" t="n">
        <v>12</v>
      </c>
      <c r="D165" s="7" t="n">
        <v>3</v>
      </c>
      <c r="E165" s="7" t="inlineStr">
        <is>
          <t>Emergent (EA)</t>
        </is>
      </c>
      <c r="F165" s="8" t="n">
        <v>180</v>
      </c>
      <c r="G165" s="9" t="n">
        <v>1</v>
      </c>
      <c r="H165" s="10" t="n">
        <v>1.538797991629323</v>
      </c>
      <c r="I165" s="11" t="n">
        <v>3</v>
      </c>
      <c r="J165" s="8" t="n">
        <v>51</v>
      </c>
      <c r="K165" s="10" t="n">
        <v>1.718468746087237</v>
      </c>
      <c r="L165" s="10" t="n">
        <v>0.02222222222222222</v>
      </c>
    </row>
    <row r="166">
      <c r="A166" s="7" t="n">
        <v>6</v>
      </c>
      <c r="B166" s="7" t="n">
        <v>15</v>
      </c>
      <c r="C166" s="7" t="n">
        <v>12</v>
      </c>
      <c r="D166" s="7" t="n">
        <v>3</v>
      </c>
      <c r="E166" s="7" t="inlineStr">
        <is>
          <t>Emergent (EA)</t>
        </is>
      </c>
      <c r="F166" s="8" t="n">
        <v>184</v>
      </c>
      <c r="G166" s="9" t="n">
        <v>1</v>
      </c>
      <c r="H166" s="10" t="n">
        <v>1.408980935902975</v>
      </c>
      <c r="I166" s="11" t="n">
        <v>3</v>
      </c>
      <c r="J166" s="8" t="n">
        <v>54</v>
      </c>
      <c r="K166" s="10" t="n">
        <v>1.020509445241754</v>
      </c>
      <c r="L166" s="10" t="n">
        <v>0.006793478260869565</v>
      </c>
    </row>
    <row r="167">
      <c r="A167" s="7" t="n">
        <v>6</v>
      </c>
      <c r="B167" s="7" t="n">
        <v>16</v>
      </c>
      <c r="C167" s="7" t="n">
        <v>12</v>
      </c>
      <c r="D167" s="7" t="n">
        <v>3</v>
      </c>
      <c r="E167" s="7" t="inlineStr">
        <is>
          <t>Emergent (EA)</t>
        </is>
      </c>
      <c r="F167" s="8" t="n">
        <v>395</v>
      </c>
      <c r="G167" s="9" t="n">
        <v>1</v>
      </c>
      <c r="H167" s="10" t="n">
        <v>0.639725657561435</v>
      </c>
      <c r="I167" s="11" t="n">
        <v>3</v>
      </c>
      <c r="J167" s="8" t="n">
        <v>177</v>
      </c>
      <c r="K167" s="10" t="n">
        <v>0.5649412978758702</v>
      </c>
      <c r="L167" s="10" t="n">
        <v>0.001265822784810127</v>
      </c>
    </row>
    <row r="168">
      <c r="A168" s="7" t="n">
        <v>6</v>
      </c>
      <c r="B168" s="7" t="n">
        <v>17</v>
      </c>
      <c r="C168" s="7" t="n">
        <v>12</v>
      </c>
      <c r="D168" s="7" t="n">
        <v>3</v>
      </c>
      <c r="E168" s="7" t="inlineStr">
        <is>
          <t>Emergent (EA)</t>
        </is>
      </c>
      <c r="F168" s="8" t="n">
        <v>265</v>
      </c>
      <c r="G168" s="9" t="n">
        <v>1</v>
      </c>
      <c r="H168" s="10" t="n">
        <v>0.5841025548375043</v>
      </c>
      <c r="I168" s="11" t="n">
        <v>3</v>
      </c>
      <c r="J168" s="8" t="n">
        <v>105.5</v>
      </c>
      <c r="K168" s="10" t="n">
        <v>0.5222844400292195</v>
      </c>
      <c r="L168" s="10" t="n">
        <v>0.002830188679245283</v>
      </c>
    </row>
    <row r="169">
      <c r="A169" s="7" t="n">
        <v>6</v>
      </c>
      <c r="B169" s="7" t="n">
        <v>18</v>
      </c>
      <c r="C169" s="7" t="n">
        <v>12</v>
      </c>
      <c r="D169" s="7" t="n">
        <v>3</v>
      </c>
      <c r="E169" s="7" t="inlineStr">
        <is>
          <t>Emergent (EA)</t>
        </is>
      </c>
      <c r="F169" s="8" t="n">
        <v>482</v>
      </c>
      <c r="G169" s="9" t="n">
        <v>1</v>
      </c>
      <c r="H169" s="10" t="n">
        <v>0.8767455096921364</v>
      </c>
      <c r="I169" s="11" t="n">
        <v>3</v>
      </c>
      <c r="J169" s="8" t="n">
        <v>176</v>
      </c>
      <c r="K169" s="10" t="n">
        <v>0.7172665376439235</v>
      </c>
      <c r="L169" s="10" t="n">
        <v>0.01244813278008299</v>
      </c>
    </row>
    <row r="170">
      <c r="A170" s="7" t="n">
        <v>6</v>
      </c>
      <c r="B170" s="7" t="n">
        <v>19</v>
      </c>
      <c r="C170" s="7" t="n">
        <v>12</v>
      </c>
      <c r="D170" s="7" t="n">
        <v>3</v>
      </c>
      <c r="E170" s="7" t="inlineStr">
        <is>
          <t>Emergent (EA)</t>
        </is>
      </c>
      <c r="F170" s="8" t="n">
        <v>277</v>
      </c>
      <c r="G170" s="9" t="n">
        <v>1</v>
      </c>
      <c r="H170" s="10" t="n">
        <v>0.6370678108459866</v>
      </c>
      <c r="I170" s="11" t="n">
        <v>3</v>
      </c>
      <c r="J170" s="8" t="n">
        <v>57.5</v>
      </c>
      <c r="K170" s="10" t="n">
        <v>0.5100746006973407</v>
      </c>
      <c r="L170" s="10" t="n">
        <v>0.02436823104693141</v>
      </c>
    </row>
    <row r="171">
      <c r="A171" s="7" t="n">
        <v>6</v>
      </c>
      <c r="B171" s="7" t="n">
        <v>20</v>
      </c>
      <c r="C171" s="7" t="n">
        <v>12</v>
      </c>
      <c r="D171" s="7" t="n">
        <v>3</v>
      </c>
      <c r="E171" s="7" t="inlineStr">
        <is>
          <t>Emergent (EA)</t>
        </is>
      </c>
      <c r="F171" s="8" t="n">
        <v>245</v>
      </c>
      <c r="G171" s="9" t="n">
        <v>1</v>
      </c>
      <c r="H171" s="10" t="n">
        <v>0.581912433978565</v>
      </c>
      <c r="I171" s="11" t="n">
        <v>3</v>
      </c>
      <c r="J171" s="8" t="n">
        <v>96.5</v>
      </c>
      <c r="K171" s="10" t="n">
        <v>0.5625221414945772</v>
      </c>
      <c r="L171" s="10" t="n">
        <v>0.01530612244897959</v>
      </c>
    </row>
    <row r="172">
      <c r="A172" s="7" t="n">
        <v>6</v>
      </c>
      <c r="B172" s="7" t="n">
        <v>21</v>
      </c>
      <c r="C172" s="7" t="n">
        <v>12</v>
      </c>
      <c r="D172" s="7" t="n">
        <v>3</v>
      </c>
      <c r="E172" s="7" t="inlineStr">
        <is>
          <t>Emergent (EA)</t>
        </is>
      </c>
      <c r="F172" s="8" t="n">
        <v>352</v>
      </c>
      <c r="G172" s="9" t="n">
        <v>1</v>
      </c>
      <c r="H172" s="10" t="n">
        <v>0.8357810438927971</v>
      </c>
      <c r="I172" s="11" t="n">
        <v>3</v>
      </c>
      <c r="J172" s="8" t="n">
        <v>63.5</v>
      </c>
      <c r="K172" s="10" t="n">
        <v>0.5327423595276783</v>
      </c>
      <c r="L172" s="10" t="n">
        <v>0.008049242424242424</v>
      </c>
    </row>
    <row r="173">
      <c r="A173" s="7" t="n">
        <v>6</v>
      </c>
      <c r="B173" s="7" t="n">
        <v>22</v>
      </c>
      <c r="C173" s="7" t="n">
        <v>12</v>
      </c>
      <c r="D173" s="7" t="n">
        <v>3</v>
      </c>
      <c r="E173" s="7" t="inlineStr">
        <is>
          <t>Emergent (EA)</t>
        </is>
      </c>
      <c r="F173" s="8" t="n">
        <v>288</v>
      </c>
      <c r="G173" s="9" t="n">
        <v>1</v>
      </c>
      <c r="H173" s="10" t="n">
        <v>0.6942069548134323</v>
      </c>
      <c r="I173" s="11" t="n">
        <v>3</v>
      </c>
      <c r="J173" s="8" t="n">
        <v>103</v>
      </c>
      <c r="K173" s="10" t="n">
        <v>0.5144136694391265</v>
      </c>
      <c r="L173" s="10" t="n">
        <v>0.015625</v>
      </c>
    </row>
    <row r="174">
      <c r="A174" s="7" t="n">
        <v>6</v>
      </c>
      <c r="B174" s="7" t="n">
        <v>23</v>
      </c>
      <c r="C174" s="7" t="n">
        <v>12</v>
      </c>
      <c r="D174" s="7" t="n">
        <v>3</v>
      </c>
      <c r="E174" s="7" t="inlineStr">
        <is>
          <t>Emergent (EA)</t>
        </is>
      </c>
      <c r="F174" s="8" t="n">
        <v>226</v>
      </c>
      <c r="G174" s="9" t="n">
        <v>1</v>
      </c>
      <c r="H174" s="10" t="n">
        <v>1.041268359508775</v>
      </c>
      <c r="I174" s="11" t="n">
        <v>3</v>
      </c>
      <c r="J174" s="8" t="n">
        <v>95.5</v>
      </c>
      <c r="K174" s="10" t="n">
        <v>1.478838373829643</v>
      </c>
      <c r="L174" s="10" t="n">
        <v>0.008849557522123894</v>
      </c>
    </row>
    <row r="175">
      <c r="A175" s="7" t="n">
        <v>6</v>
      </c>
      <c r="B175" s="7" t="n">
        <v>24</v>
      </c>
      <c r="C175" s="7" t="n">
        <v>12</v>
      </c>
      <c r="D175" s="7" t="n">
        <v>3</v>
      </c>
      <c r="E175" s="7" t="inlineStr">
        <is>
          <t>Emergent (EA)</t>
        </is>
      </c>
      <c r="F175" s="8" t="n">
        <v>135</v>
      </c>
      <c r="G175" s="9" t="n">
        <v>1</v>
      </c>
      <c r="H175" s="10" t="n">
        <v>0.601443950520647</v>
      </c>
      <c r="I175" s="11" t="n">
        <v>3</v>
      </c>
      <c r="J175" s="8" t="n">
        <v>35</v>
      </c>
      <c r="K175" s="10" t="n">
        <v>0.5377883182467326</v>
      </c>
      <c r="L175" s="10" t="n">
        <v>0</v>
      </c>
    </row>
    <row r="176">
      <c r="A176" s="7" t="n">
        <v>6</v>
      </c>
      <c r="B176" s="7" t="n">
        <v>25</v>
      </c>
      <c r="C176" s="7" t="n">
        <v>12</v>
      </c>
      <c r="D176" s="7" t="n">
        <v>3</v>
      </c>
      <c r="E176" s="7" t="inlineStr">
        <is>
          <t>Emergent (EA)</t>
        </is>
      </c>
      <c r="F176" s="8" t="n">
        <v>263</v>
      </c>
      <c r="G176" s="9" t="n">
        <v>1</v>
      </c>
      <c r="H176" s="10" t="n">
        <v>0.8420381231401461</v>
      </c>
      <c r="I176" s="11" t="n">
        <v>3</v>
      </c>
      <c r="J176" s="8" t="n">
        <v>108.5</v>
      </c>
      <c r="K176" s="10" t="n">
        <v>0.5020253779948295</v>
      </c>
      <c r="L176" s="10" t="n">
        <v>0.01204055766793409</v>
      </c>
    </row>
    <row r="177">
      <c r="A177" s="7" t="n">
        <v>6</v>
      </c>
      <c r="B177" s="7" t="n">
        <v>26</v>
      </c>
      <c r="C177" s="7" t="n">
        <v>12</v>
      </c>
      <c r="D177" s="7" t="n">
        <v>3</v>
      </c>
      <c r="E177" s="7" t="inlineStr">
        <is>
          <t>Emergent (EA)</t>
        </is>
      </c>
      <c r="F177" s="8" t="n">
        <v>227</v>
      </c>
      <c r="G177" s="9" t="n">
        <v>1</v>
      </c>
      <c r="H177" s="10" t="n">
        <v>1.391483811779215</v>
      </c>
      <c r="I177" s="11" t="n">
        <v>3</v>
      </c>
      <c r="J177" s="8" t="n">
        <v>97.5</v>
      </c>
      <c r="K177" s="10" t="n">
        <v>2.253857131769084</v>
      </c>
      <c r="L177" s="10" t="n">
        <v>0.005873715124816446</v>
      </c>
    </row>
    <row r="178">
      <c r="A178" s="7" t="n">
        <v>6</v>
      </c>
      <c r="B178" s="7" t="n">
        <v>27</v>
      </c>
      <c r="C178" s="7" t="n">
        <v>12</v>
      </c>
      <c r="D178" s="7" t="n">
        <v>3</v>
      </c>
      <c r="E178" s="7" t="inlineStr">
        <is>
          <t>Emergent (EA)</t>
        </is>
      </c>
      <c r="F178" s="8" t="n">
        <v>269</v>
      </c>
      <c r="G178" s="9" t="n">
        <v>1</v>
      </c>
      <c r="H178" s="10" t="n">
        <v>0.6706743650114607</v>
      </c>
      <c r="I178" s="11" t="n">
        <v>3</v>
      </c>
      <c r="J178" s="8" t="n">
        <v>101</v>
      </c>
      <c r="K178" s="10" t="n">
        <v>0.5294178408071791</v>
      </c>
      <c r="L178" s="10" t="n">
        <v>0.00929368029739777</v>
      </c>
    </row>
    <row r="179">
      <c r="A179" s="7" t="n">
        <v>6</v>
      </c>
      <c r="B179" s="7" t="n">
        <v>28</v>
      </c>
      <c r="C179" s="7" t="n">
        <v>12</v>
      </c>
      <c r="D179" s="7" t="n">
        <v>3</v>
      </c>
      <c r="E179" s="7" t="inlineStr">
        <is>
          <t>Emergent (EA)</t>
        </is>
      </c>
      <c r="F179" s="8" t="n">
        <v>343</v>
      </c>
      <c r="G179" s="9" t="n">
        <v>1</v>
      </c>
      <c r="H179" s="10" t="n">
        <v>0.6001447989562793</v>
      </c>
      <c r="I179" s="11" t="n">
        <v>3</v>
      </c>
      <c r="J179" s="8" t="n">
        <v>112</v>
      </c>
      <c r="K179" s="10" t="n">
        <v>0.6459230112250233</v>
      </c>
      <c r="L179" s="10" t="n">
        <v>0.007045675413022352</v>
      </c>
    </row>
    <row r="180">
      <c r="A180" s="7" t="n">
        <v>6</v>
      </c>
      <c r="B180" s="7" t="n">
        <v>29</v>
      </c>
      <c r="C180" s="7" t="n">
        <v>12</v>
      </c>
      <c r="D180" s="7" t="n">
        <v>3</v>
      </c>
      <c r="E180" s="7" t="inlineStr">
        <is>
          <t>Emergent (EA)</t>
        </is>
      </c>
      <c r="F180" s="8" t="n">
        <v>431</v>
      </c>
      <c r="G180" s="9" t="n">
        <v>1</v>
      </c>
      <c r="H180" s="10" t="n">
        <v>1.257389330549106</v>
      </c>
      <c r="I180" s="11" t="n">
        <v>3</v>
      </c>
      <c r="J180" s="8" t="n">
        <v>132</v>
      </c>
      <c r="K180" s="10" t="n">
        <v>0.5413600544720877</v>
      </c>
      <c r="L180" s="10" t="n">
        <v>0.01759474091260634</v>
      </c>
    </row>
    <row r="181">
      <c r="A181" s="7" t="n">
        <v>6</v>
      </c>
      <c r="B181" s="7" t="n">
        <v>30</v>
      </c>
      <c r="C181" s="7" t="n">
        <v>12</v>
      </c>
      <c r="D181" s="7" t="n">
        <v>3</v>
      </c>
      <c r="E181" s="7" t="inlineStr">
        <is>
          <t>Emergent (EA)</t>
        </is>
      </c>
      <c r="F181" s="8" t="n">
        <v>239</v>
      </c>
      <c r="G181" s="9" t="n">
        <v>1</v>
      </c>
      <c r="H181" s="10" t="n">
        <v>1.11344424702632</v>
      </c>
      <c r="I181" s="11" t="n">
        <v>3</v>
      </c>
      <c r="J181" s="8" t="n">
        <v>69</v>
      </c>
      <c r="K181" s="10" t="n">
        <v>0.6106731919616125</v>
      </c>
      <c r="L181" s="10" t="n">
        <v>0.01080892608089261</v>
      </c>
    </row>
    <row r="182">
      <c r="A182" s="7" t="n">
        <v>7</v>
      </c>
      <c r="B182" s="7" t="n">
        <v>1</v>
      </c>
      <c r="C182" s="7" t="n">
        <v>16</v>
      </c>
      <c r="D182" s="7" t="n">
        <v>1</v>
      </c>
      <c r="E182" s="7" t="inlineStr">
        <is>
          <t>Emergent (EA)</t>
        </is>
      </c>
      <c r="F182" s="8" t="n">
        <v>74</v>
      </c>
      <c r="G182" s="9" t="n">
        <v>1</v>
      </c>
      <c r="H182" s="10" t="n">
        <v>2.763192489569895</v>
      </c>
      <c r="I182" s="11" t="n">
        <v>1</v>
      </c>
      <c r="J182" s="8" t="n">
        <v>74</v>
      </c>
      <c r="K182" s="10" t="n">
        <v>2.632926367080118</v>
      </c>
      <c r="L182" s="10" t="n">
        <v>0</v>
      </c>
    </row>
    <row r="183">
      <c r="A183" s="7" t="n">
        <v>7</v>
      </c>
      <c r="B183" s="7" t="n">
        <v>2</v>
      </c>
      <c r="C183" s="7" t="n">
        <v>16</v>
      </c>
      <c r="D183" s="7" t="n">
        <v>1</v>
      </c>
      <c r="E183" s="7" t="inlineStr">
        <is>
          <t>Emergent (EA)</t>
        </is>
      </c>
      <c r="F183" s="8" t="n">
        <v>231</v>
      </c>
      <c r="G183" s="9" t="n">
        <v>1</v>
      </c>
      <c r="H183" s="10" t="n">
        <v>0.7240737235411111</v>
      </c>
      <c r="I183" s="11" t="n">
        <v>1</v>
      </c>
      <c r="J183" s="8" t="n">
        <v>231</v>
      </c>
      <c r="K183" s="10" t="n">
        <v>0.5336662396781788</v>
      </c>
      <c r="L183" s="10" t="n">
        <v>0</v>
      </c>
    </row>
    <row r="184">
      <c r="A184" s="7" t="n">
        <v>7</v>
      </c>
      <c r="B184" s="7" t="n">
        <v>3</v>
      </c>
      <c r="C184" s="7" t="n">
        <v>16</v>
      </c>
      <c r="D184" s="7" t="n">
        <v>1</v>
      </c>
      <c r="E184" s="7" t="inlineStr">
        <is>
          <t>Emergent (EA)</t>
        </is>
      </c>
      <c r="F184" s="8" t="n">
        <v>127</v>
      </c>
      <c r="G184" s="9" t="n">
        <v>1</v>
      </c>
      <c r="H184" s="10" t="n">
        <v>0.6618996292732053</v>
      </c>
      <c r="I184" s="11" t="n">
        <v>1</v>
      </c>
      <c r="J184" s="8" t="n">
        <v>127</v>
      </c>
      <c r="K184" s="10" t="n">
        <v>0.5708634724382338</v>
      </c>
      <c r="L184" s="10" t="n">
        <v>0</v>
      </c>
    </row>
    <row r="185">
      <c r="A185" s="7" t="n">
        <v>7</v>
      </c>
      <c r="B185" s="7" t="n">
        <v>4</v>
      </c>
      <c r="C185" s="7" t="n">
        <v>16</v>
      </c>
      <c r="D185" s="7" t="n">
        <v>1</v>
      </c>
      <c r="E185" s="7" t="inlineStr">
        <is>
          <t>Emergent (EA)</t>
        </is>
      </c>
      <c r="F185" s="8" t="n">
        <v>62</v>
      </c>
      <c r="G185" s="9" t="n">
        <v>1</v>
      </c>
      <c r="H185" s="10" t="n">
        <v>0.8302407746063696</v>
      </c>
      <c r="I185" s="11" t="n">
        <v>1</v>
      </c>
      <c r="J185" s="8" t="n">
        <v>62</v>
      </c>
      <c r="K185" s="10" t="n">
        <v>0.5299914622900532</v>
      </c>
      <c r="L185" s="10" t="n">
        <v>0</v>
      </c>
    </row>
    <row r="186">
      <c r="A186" s="7" t="n">
        <v>7</v>
      </c>
      <c r="B186" s="7" t="n">
        <v>5</v>
      </c>
      <c r="C186" s="7" t="n">
        <v>16</v>
      </c>
      <c r="D186" s="7" t="n">
        <v>1</v>
      </c>
      <c r="E186" s="7" t="inlineStr">
        <is>
          <t>Emergent (EA)</t>
        </is>
      </c>
      <c r="F186" s="8" t="n">
        <v>153</v>
      </c>
      <c r="G186" s="9" t="n">
        <v>1</v>
      </c>
      <c r="H186" s="10" t="n">
        <v>0.8259600309287356</v>
      </c>
      <c r="I186" s="11" t="n">
        <v>1</v>
      </c>
      <c r="J186" s="8" t="n">
        <v>153</v>
      </c>
      <c r="K186" s="10" t="n">
        <v>0.7351818522461868</v>
      </c>
      <c r="L186" s="10" t="n">
        <v>0</v>
      </c>
    </row>
    <row r="187">
      <c r="A187" s="7" t="n">
        <v>7</v>
      </c>
      <c r="B187" s="7" t="n">
        <v>6</v>
      </c>
      <c r="C187" s="7" t="n">
        <v>16</v>
      </c>
      <c r="D187" s="7" t="n">
        <v>1</v>
      </c>
      <c r="E187" s="7" t="inlineStr">
        <is>
          <t>Emergent (EA)</t>
        </is>
      </c>
      <c r="F187" s="8" t="n">
        <v>123</v>
      </c>
      <c r="G187" s="9" t="n">
        <v>1</v>
      </c>
      <c r="H187" s="10" t="n">
        <v>0.6960879476446026</v>
      </c>
      <c r="I187" s="11" t="n">
        <v>1</v>
      </c>
      <c r="J187" s="8" t="n">
        <v>123</v>
      </c>
      <c r="K187" s="10" t="n">
        <v>0.5579309810607886</v>
      </c>
      <c r="L187" s="10" t="n">
        <v>0</v>
      </c>
    </row>
    <row r="188">
      <c r="A188" s="7" t="n">
        <v>7</v>
      </c>
      <c r="B188" s="7" t="n">
        <v>7</v>
      </c>
      <c r="C188" s="7" t="n">
        <v>16</v>
      </c>
      <c r="D188" s="7" t="n">
        <v>1</v>
      </c>
      <c r="E188" s="7" t="inlineStr">
        <is>
          <t>Emergent (EA)</t>
        </is>
      </c>
      <c r="F188" s="8" t="n">
        <v>41</v>
      </c>
      <c r="G188" s="9" t="n">
        <v>1</v>
      </c>
      <c r="H188" s="10" t="n">
        <v>2.311602175042385</v>
      </c>
      <c r="I188" s="11" t="n">
        <v>1</v>
      </c>
      <c r="J188" s="8" t="n">
        <v>41</v>
      </c>
      <c r="K188" s="10" t="n">
        <v>3.757593582991432</v>
      </c>
      <c r="L188" s="10" t="n">
        <v>0</v>
      </c>
    </row>
    <row r="189">
      <c r="A189" s="7" t="n">
        <v>7</v>
      </c>
      <c r="B189" s="7" t="n">
        <v>8</v>
      </c>
      <c r="C189" s="7" t="n">
        <v>16</v>
      </c>
      <c r="D189" s="7" t="n">
        <v>1</v>
      </c>
      <c r="E189" s="7" t="inlineStr">
        <is>
          <t>Emergent (EA)</t>
        </is>
      </c>
      <c r="F189" s="8" t="n">
        <v>48</v>
      </c>
      <c r="G189" s="9" t="n">
        <v>1</v>
      </c>
      <c r="H189" s="10" t="n">
        <v>0.9430354609116974</v>
      </c>
      <c r="I189" s="11" t="n">
        <v>1</v>
      </c>
      <c r="J189" s="8" t="n">
        <v>48</v>
      </c>
      <c r="K189" s="10" t="n">
        <v>0.5568293043628646</v>
      </c>
      <c r="L189" s="10" t="n">
        <v>0</v>
      </c>
    </row>
    <row r="190">
      <c r="A190" s="7" t="n">
        <v>7</v>
      </c>
      <c r="B190" s="7" t="n">
        <v>9</v>
      </c>
      <c r="C190" s="7" t="n">
        <v>16</v>
      </c>
      <c r="D190" s="7" t="n">
        <v>1</v>
      </c>
      <c r="E190" s="7" t="inlineStr">
        <is>
          <t>Emergent (EA)</t>
        </is>
      </c>
      <c r="F190" s="8" t="n">
        <v>32</v>
      </c>
      <c r="G190" s="9" t="n">
        <v>1</v>
      </c>
      <c r="H190" s="10" t="n">
        <v>1.057618409616236</v>
      </c>
      <c r="I190" s="11" t="n">
        <v>1</v>
      </c>
      <c r="J190" s="8" t="n">
        <v>32</v>
      </c>
      <c r="K190" s="10" t="n">
        <v>0.6171024124650708</v>
      </c>
      <c r="L190" s="10" t="n">
        <v>0</v>
      </c>
    </row>
    <row r="191">
      <c r="A191" s="7" t="n">
        <v>7</v>
      </c>
      <c r="B191" s="7" t="n">
        <v>10</v>
      </c>
      <c r="C191" s="7" t="n">
        <v>16</v>
      </c>
      <c r="D191" s="7" t="n">
        <v>1</v>
      </c>
      <c r="E191" s="7" t="inlineStr">
        <is>
          <t>Emergent (EA)</t>
        </is>
      </c>
      <c r="F191" s="8" t="n">
        <v>234</v>
      </c>
      <c r="G191" s="9" t="n">
        <v>1</v>
      </c>
      <c r="H191" s="10" t="n">
        <v>1.343857871728971</v>
      </c>
      <c r="I191" s="11" t="n">
        <v>1</v>
      </c>
      <c r="J191" s="8" t="n">
        <v>234</v>
      </c>
      <c r="K191" s="10" t="n">
        <v>0.5999785483817244</v>
      </c>
      <c r="L191" s="10" t="n">
        <v>0</v>
      </c>
    </row>
    <row r="192">
      <c r="A192" s="7" t="n">
        <v>7</v>
      </c>
      <c r="B192" s="7" t="n">
        <v>11</v>
      </c>
      <c r="C192" s="7" t="n">
        <v>16</v>
      </c>
      <c r="D192" s="7" t="n">
        <v>1</v>
      </c>
      <c r="E192" s="7" t="inlineStr">
        <is>
          <t>Emergent (EA)</t>
        </is>
      </c>
      <c r="F192" s="8" t="n">
        <v>219</v>
      </c>
      <c r="G192" s="9" t="n">
        <v>1</v>
      </c>
      <c r="H192" s="10" t="n">
        <v>0.7170794213616741</v>
      </c>
      <c r="I192" s="11" t="n">
        <v>1</v>
      </c>
      <c r="J192" s="8" t="n">
        <v>219</v>
      </c>
      <c r="K192" s="10" t="n">
        <v>0.6880148883494807</v>
      </c>
      <c r="L192" s="10" t="n">
        <v>0</v>
      </c>
    </row>
    <row r="193">
      <c r="A193" s="7" t="n">
        <v>7</v>
      </c>
      <c r="B193" s="7" t="n">
        <v>12</v>
      </c>
      <c r="C193" s="7" t="n">
        <v>16</v>
      </c>
      <c r="D193" s="7" t="n">
        <v>1</v>
      </c>
      <c r="E193" s="7" t="inlineStr">
        <is>
          <t>Emergent (EA)</t>
        </is>
      </c>
      <c r="F193" s="8" t="n">
        <v>27</v>
      </c>
      <c r="G193" s="9" t="n">
        <v>1</v>
      </c>
      <c r="H193" s="10" t="n">
        <v>0.953006775583466</v>
      </c>
      <c r="I193" s="11" t="n">
        <v>1</v>
      </c>
      <c r="J193" s="8" t="n">
        <v>27</v>
      </c>
      <c r="K193" s="10" t="n">
        <v>0.613739006582031</v>
      </c>
      <c r="L193" s="10" t="n">
        <v>0</v>
      </c>
    </row>
    <row r="194">
      <c r="A194" s="7" t="n">
        <v>7</v>
      </c>
      <c r="B194" s="7" t="n">
        <v>13</v>
      </c>
      <c r="C194" s="7" t="n">
        <v>16</v>
      </c>
      <c r="D194" s="7" t="n">
        <v>1</v>
      </c>
      <c r="E194" s="7" t="inlineStr">
        <is>
          <t>Emergent (EA)</t>
        </is>
      </c>
      <c r="F194" s="8" t="n">
        <v>33</v>
      </c>
      <c r="G194" s="9" t="n">
        <v>1</v>
      </c>
      <c r="H194" s="10" t="n">
        <v>0.8665662194941606</v>
      </c>
      <c r="I194" s="11" t="n">
        <v>1</v>
      </c>
      <c r="J194" s="8" t="n">
        <v>33</v>
      </c>
      <c r="K194" s="10" t="n">
        <v>0.4812388713309834</v>
      </c>
      <c r="L194" s="10" t="n">
        <v>0</v>
      </c>
    </row>
    <row r="195">
      <c r="A195" s="7" t="n">
        <v>7</v>
      </c>
      <c r="B195" s="7" t="n">
        <v>14</v>
      </c>
      <c r="C195" s="7" t="n">
        <v>16</v>
      </c>
      <c r="D195" s="7" t="n">
        <v>1</v>
      </c>
      <c r="E195" s="7" t="inlineStr">
        <is>
          <t>Emergent (EA)</t>
        </is>
      </c>
      <c r="F195" s="8" t="n">
        <v>42</v>
      </c>
      <c r="G195" s="9" t="n">
        <v>1</v>
      </c>
      <c r="H195" s="10" t="n">
        <v>0.8053841296177408</v>
      </c>
      <c r="I195" s="11" t="n">
        <v>1</v>
      </c>
      <c r="J195" s="8" t="n">
        <v>42</v>
      </c>
      <c r="K195" s="10" t="n">
        <v>0.4733154758428933</v>
      </c>
      <c r="L195" s="10" t="n">
        <v>0</v>
      </c>
    </row>
    <row r="196">
      <c r="A196" s="7" t="n">
        <v>7</v>
      </c>
      <c r="B196" s="7" t="n">
        <v>15</v>
      </c>
      <c r="C196" s="7" t="n">
        <v>16</v>
      </c>
      <c r="D196" s="7" t="n">
        <v>1</v>
      </c>
      <c r="E196" s="7" t="inlineStr">
        <is>
          <t>Emergent (EA)</t>
        </is>
      </c>
      <c r="F196" s="8" t="n">
        <v>120</v>
      </c>
      <c r="G196" s="9" t="n">
        <v>1</v>
      </c>
      <c r="H196" s="10" t="n">
        <v>2.789972306877534</v>
      </c>
      <c r="I196" s="11" t="n">
        <v>1</v>
      </c>
      <c r="J196" s="8" t="n">
        <v>120</v>
      </c>
      <c r="K196" s="10" t="n">
        <v>0.7558651520675824</v>
      </c>
      <c r="L196" s="10" t="n">
        <v>0</v>
      </c>
    </row>
    <row r="197">
      <c r="A197" s="7" t="n">
        <v>7</v>
      </c>
      <c r="B197" s="7" t="n">
        <v>16</v>
      </c>
      <c r="C197" s="7" t="n">
        <v>16</v>
      </c>
      <c r="D197" s="7" t="n">
        <v>1</v>
      </c>
      <c r="E197" s="7" t="inlineStr">
        <is>
          <t>Emergent (EA)</t>
        </is>
      </c>
      <c r="F197" s="8" t="n">
        <v>203</v>
      </c>
      <c r="G197" s="9" t="n">
        <v>1</v>
      </c>
      <c r="H197" s="10" t="n">
        <v>0.7282430628789509</v>
      </c>
      <c r="I197" s="11" t="n">
        <v>1</v>
      </c>
      <c r="J197" s="8" t="n">
        <v>203</v>
      </c>
      <c r="K197" s="10" t="n">
        <v>0.6555627775224954</v>
      </c>
      <c r="L197" s="10" t="n">
        <v>0</v>
      </c>
    </row>
    <row r="198">
      <c r="A198" s="7" t="n">
        <v>7</v>
      </c>
      <c r="B198" s="7" t="n">
        <v>17</v>
      </c>
      <c r="C198" s="7" t="n">
        <v>16</v>
      </c>
      <c r="D198" s="7" t="n">
        <v>1</v>
      </c>
      <c r="E198" s="7" t="inlineStr">
        <is>
          <t>Emergent (EA)</t>
        </is>
      </c>
      <c r="F198" s="8" t="n">
        <v>168</v>
      </c>
      <c r="G198" s="9" t="n">
        <v>1</v>
      </c>
      <c r="H198" s="10" t="n">
        <v>0.6719369672846922</v>
      </c>
      <c r="I198" s="11" t="n">
        <v>1</v>
      </c>
      <c r="J198" s="8" t="n">
        <v>168</v>
      </c>
      <c r="K198" s="10" t="n">
        <v>0.4376892384828228</v>
      </c>
      <c r="L198" s="10" t="n">
        <v>0</v>
      </c>
    </row>
    <row r="199">
      <c r="A199" s="7" t="n">
        <v>7</v>
      </c>
      <c r="B199" s="7" t="n">
        <v>18</v>
      </c>
      <c r="C199" s="7" t="n">
        <v>16</v>
      </c>
      <c r="D199" s="7" t="n">
        <v>1</v>
      </c>
      <c r="E199" s="7" t="inlineStr">
        <is>
          <t>Emergent (EA)</t>
        </is>
      </c>
      <c r="F199" s="8" t="n">
        <v>49</v>
      </c>
      <c r="G199" s="9" t="n">
        <v>1</v>
      </c>
      <c r="H199" s="10" t="n">
        <v>3.199695119123023</v>
      </c>
      <c r="I199" s="11" t="n">
        <v>1</v>
      </c>
      <c r="J199" s="8" t="n">
        <v>49</v>
      </c>
      <c r="K199" s="10" t="n">
        <v>4.032521296816714</v>
      </c>
      <c r="L199" s="10" t="n">
        <v>0</v>
      </c>
    </row>
    <row r="200">
      <c r="A200" s="7" t="n">
        <v>7</v>
      </c>
      <c r="B200" s="7" t="n">
        <v>19</v>
      </c>
      <c r="C200" s="7" t="n">
        <v>16</v>
      </c>
      <c r="D200" s="7" t="n">
        <v>1</v>
      </c>
      <c r="E200" s="7" t="inlineStr">
        <is>
          <t>Emergent (EA)</t>
        </is>
      </c>
      <c r="F200" s="8" t="n">
        <v>30</v>
      </c>
      <c r="G200" s="9" t="n">
        <v>1</v>
      </c>
      <c r="H200" s="10" t="n">
        <v>0.730392482019931</v>
      </c>
      <c r="I200" s="11" t="n">
        <v>1</v>
      </c>
      <c r="J200" s="8" t="n">
        <v>30</v>
      </c>
      <c r="K200" s="10" t="n">
        <v>0.6396121850818322</v>
      </c>
      <c r="L200" s="10" t="n">
        <v>0</v>
      </c>
    </row>
    <row r="201">
      <c r="A201" s="7" t="n">
        <v>7</v>
      </c>
      <c r="B201" s="7" t="n">
        <v>20</v>
      </c>
      <c r="C201" s="7" t="n">
        <v>16</v>
      </c>
      <c r="D201" s="7" t="n">
        <v>1</v>
      </c>
      <c r="E201" s="7" t="inlineStr">
        <is>
          <t>Emergent (EA)</t>
        </is>
      </c>
      <c r="F201" s="8" t="n">
        <v>112</v>
      </c>
      <c r="G201" s="9" t="n">
        <v>1</v>
      </c>
      <c r="H201" s="10" t="n">
        <v>0.6558475419362415</v>
      </c>
      <c r="I201" s="11" t="n">
        <v>1</v>
      </c>
      <c r="J201" s="8" t="n">
        <v>112</v>
      </c>
      <c r="K201" s="10" t="n">
        <v>0.4804544691797585</v>
      </c>
      <c r="L201" s="10" t="n">
        <v>0</v>
      </c>
    </row>
    <row r="202">
      <c r="A202" s="7" t="n">
        <v>7</v>
      </c>
      <c r="B202" s="7" t="n">
        <v>21</v>
      </c>
      <c r="C202" s="7" t="n">
        <v>16</v>
      </c>
      <c r="D202" s="7" t="n">
        <v>1</v>
      </c>
      <c r="E202" s="7" t="inlineStr">
        <is>
          <t>Emergent (EA)</t>
        </is>
      </c>
      <c r="F202" s="8" t="n">
        <v>32</v>
      </c>
      <c r="G202" s="9" t="n">
        <v>1</v>
      </c>
      <c r="H202" s="10" t="n">
        <v>1.568237806941544</v>
      </c>
      <c r="I202" s="11" t="n">
        <v>1</v>
      </c>
      <c r="J202" s="8" t="n">
        <v>32</v>
      </c>
      <c r="K202" s="10" t="n">
        <v>1.053046598362964</v>
      </c>
      <c r="L202" s="10" t="n">
        <v>0</v>
      </c>
    </row>
    <row r="203">
      <c r="A203" s="7" t="n">
        <v>7</v>
      </c>
      <c r="B203" s="7" t="n">
        <v>22</v>
      </c>
      <c r="C203" s="7" t="n">
        <v>16</v>
      </c>
      <c r="D203" s="7" t="n">
        <v>1</v>
      </c>
      <c r="E203" s="7" t="inlineStr">
        <is>
          <t>Emergent (EA)</t>
        </is>
      </c>
      <c r="F203" s="8" t="n">
        <v>90</v>
      </c>
      <c r="G203" s="9" t="n">
        <v>1</v>
      </c>
      <c r="H203" s="10" t="n">
        <v>2.299084493215735</v>
      </c>
      <c r="I203" s="11" t="n">
        <v>1</v>
      </c>
      <c r="J203" s="8" t="n">
        <v>90</v>
      </c>
      <c r="K203" s="10" t="n">
        <v>3.692534143457315</v>
      </c>
      <c r="L203" s="10" t="n">
        <v>0</v>
      </c>
    </row>
    <row r="204">
      <c r="A204" s="7" t="n">
        <v>7</v>
      </c>
      <c r="B204" s="7" t="n">
        <v>23</v>
      </c>
      <c r="C204" s="7" t="n">
        <v>16</v>
      </c>
      <c r="D204" s="7" t="n">
        <v>1</v>
      </c>
      <c r="E204" s="7" t="inlineStr">
        <is>
          <t>Emergent (EA)</t>
        </is>
      </c>
      <c r="F204" s="8" t="n">
        <v>151</v>
      </c>
      <c r="G204" s="9" t="n">
        <v>1</v>
      </c>
      <c r="H204" s="10" t="n">
        <v>1.546965540143382</v>
      </c>
      <c r="I204" s="11" t="n">
        <v>1</v>
      </c>
      <c r="J204" s="8" t="n">
        <v>151</v>
      </c>
      <c r="K204" s="10" t="n">
        <v>0.6963320516844012</v>
      </c>
      <c r="L204" s="10" t="n">
        <v>0</v>
      </c>
    </row>
    <row r="205">
      <c r="A205" s="7" t="n">
        <v>7</v>
      </c>
      <c r="B205" s="7" t="n">
        <v>24</v>
      </c>
      <c r="C205" s="7" t="n">
        <v>16</v>
      </c>
      <c r="D205" s="7" t="n">
        <v>1</v>
      </c>
      <c r="E205" s="7" t="inlineStr">
        <is>
          <t>Emergent (EA)</t>
        </is>
      </c>
      <c r="F205" s="8" t="n">
        <v>24</v>
      </c>
      <c r="G205" s="9" t="n">
        <v>1</v>
      </c>
      <c r="H205" s="10" t="n">
        <v>1.014263979101322</v>
      </c>
      <c r="I205" s="11" t="n">
        <v>1</v>
      </c>
      <c r="J205" s="8" t="n">
        <v>24</v>
      </c>
      <c r="K205" s="10" t="n">
        <v>0.6566051349777294</v>
      </c>
      <c r="L205" s="10" t="n">
        <v>0</v>
      </c>
    </row>
    <row r="206">
      <c r="A206" s="7" t="n">
        <v>7</v>
      </c>
      <c r="B206" s="7" t="n">
        <v>25</v>
      </c>
      <c r="C206" s="7" t="n">
        <v>16</v>
      </c>
      <c r="D206" s="7" t="n">
        <v>1</v>
      </c>
      <c r="E206" s="7" t="inlineStr">
        <is>
          <t>Emergent (EA)</t>
        </is>
      </c>
      <c r="F206" s="8" t="n">
        <v>110</v>
      </c>
      <c r="G206" s="9" t="n">
        <v>1</v>
      </c>
      <c r="H206" s="10" t="n">
        <v>3.209586948088856</v>
      </c>
      <c r="I206" s="11" t="n">
        <v>1</v>
      </c>
      <c r="J206" s="8" t="n">
        <v>110</v>
      </c>
      <c r="K206" s="10" t="n">
        <v>4.706518452390792</v>
      </c>
      <c r="L206" s="10" t="n">
        <v>0</v>
      </c>
    </row>
    <row r="207">
      <c r="A207" s="7" t="n">
        <v>7</v>
      </c>
      <c r="B207" s="7" t="n">
        <v>26</v>
      </c>
      <c r="C207" s="7" t="n">
        <v>16</v>
      </c>
      <c r="D207" s="7" t="n">
        <v>1</v>
      </c>
      <c r="E207" s="7" t="inlineStr">
        <is>
          <t>Emergent (EA)</t>
        </is>
      </c>
      <c r="F207" s="8" t="n">
        <v>97</v>
      </c>
      <c r="G207" s="9" t="n">
        <v>1</v>
      </c>
      <c r="H207" s="10" t="n">
        <v>0.9859375298339375</v>
      </c>
      <c r="I207" s="11" t="n">
        <v>1</v>
      </c>
      <c r="J207" s="8" t="n">
        <v>97</v>
      </c>
      <c r="K207" s="10" t="n">
        <v>0.5127187641022652</v>
      </c>
      <c r="L207" s="10" t="n">
        <v>0</v>
      </c>
    </row>
    <row r="208">
      <c r="A208" s="7" t="n">
        <v>7</v>
      </c>
      <c r="B208" s="7" t="n">
        <v>27</v>
      </c>
      <c r="C208" s="7" t="n">
        <v>16</v>
      </c>
      <c r="D208" s="7" t="n">
        <v>1</v>
      </c>
      <c r="E208" s="7" t="inlineStr">
        <is>
          <t>Emergent (EA)</t>
        </is>
      </c>
      <c r="F208" s="8" t="n">
        <v>137</v>
      </c>
      <c r="G208" s="9" t="n">
        <v>1</v>
      </c>
      <c r="H208" s="10" t="n">
        <v>0.6704454315652015</v>
      </c>
      <c r="I208" s="11" t="n">
        <v>1</v>
      </c>
      <c r="J208" s="8" t="n">
        <v>137</v>
      </c>
      <c r="K208" s="10" t="n">
        <v>0.653700809594709</v>
      </c>
      <c r="L208" s="10" t="n">
        <v>0</v>
      </c>
    </row>
    <row r="209">
      <c r="A209" s="7" t="n">
        <v>7</v>
      </c>
      <c r="B209" s="7" t="n">
        <v>28</v>
      </c>
      <c r="C209" s="7" t="n">
        <v>16</v>
      </c>
      <c r="D209" s="7" t="n">
        <v>1</v>
      </c>
      <c r="E209" s="7" t="inlineStr">
        <is>
          <t>Emergent (EA)</t>
        </is>
      </c>
      <c r="F209" s="8" t="n">
        <v>31</v>
      </c>
      <c r="G209" s="9" t="n">
        <v>1</v>
      </c>
      <c r="H209" s="10" t="n">
        <v>1.105429553527696</v>
      </c>
      <c r="I209" s="11" t="n">
        <v>1</v>
      </c>
      <c r="J209" s="8" t="n">
        <v>31</v>
      </c>
      <c r="K209" s="10" t="n">
        <v>0.6593768575429456</v>
      </c>
      <c r="L209" s="10" t="n">
        <v>0</v>
      </c>
    </row>
    <row r="210">
      <c r="A210" s="7" t="n">
        <v>7</v>
      </c>
      <c r="B210" s="7" t="n">
        <v>29</v>
      </c>
      <c r="C210" s="7" t="n">
        <v>16</v>
      </c>
      <c r="D210" s="7" t="n">
        <v>1</v>
      </c>
      <c r="E210" s="7" t="inlineStr">
        <is>
          <t>Emergent (EA)</t>
        </is>
      </c>
      <c r="F210" s="8" t="n">
        <v>25</v>
      </c>
      <c r="G210" s="9" t="n">
        <v>1</v>
      </c>
      <c r="H210" s="10" t="n">
        <v>0.8701898765208795</v>
      </c>
      <c r="I210" s="11" t="n">
        <v>1</v>
      </c>
      <c r="J210" s="8" t="n">
        <v>25</v>
      </c>
      <c r="K210" s="10" t="n">
        <v>0.4239900220500222</v>
      </c>
      <c r="L210" s="10" t="n">
        <v>0</v>
      </c>
    </row>
    <row r="211">
      <c r="A211" s="7" t="n">
        <v>7</v>
      </c>
      <c r="B211" s="7" t="n">
        <v>30</v>
      </c>
      <c r="C211" s="7" t="n">
        <v>16</v>
      </c>
      <c r="D211" s="7" t="n">
        <v>1</v>
      </c>
      <c r="E211" s="7" t="inlineStr">
        <is>
          <t>Emergent (EA)</t>
        </is>
      </c>
      <c r="F211" s="8" t="n">
        <v>16</v>
      </c>
      <c r="G211" s="9" t="n">
        <v>1</v>
      </c>
      <c r="H211" s="10" t="n">
        <v>1.365546539098364</v>
      </c>
      <c r="I211" s="11" t="n">
        <v>1</v>
      </c>
      <c r="J211" s="8" t="n">
        <v>16</v>
      </c>
      <c r="K211" s="10" t="n">
        <v>0.7170546496952936</v>
      </c>
      <c r="L211" s="10" t="n">
        <v>0</v>
      </c>
    </row>
    <row r="212">
      <c r="A212" s="7" t="n">
        <v>8</v>
      </c>
      <c r="B212" s="7" t="n">
        <v>1</v>
      </c>
      <c r="C212" s="7" t="n">
        <v>16</v>
      </c>
      <c r="D212" s="7" t="n">
        <v>2</v>
      </c>
      <c r="E212" s="7" t="inlineStr">
        <is>
          <t>Emergent (EA)</t>
        </is>
      </c>
      <c r="F212" s="8" t="n">
        <v>364</v>
      </c>
      <c r="G212" s="9" t="n">
        <v>1</v>
      </c>
      <c r="H212" s="10" t="n">
        <v>1.22328351325912</v>
      </c>
      <c r="I212" s="11" t="n">
        <v>2</v>
      </c>
      <c r="J212" s="8" t="n">
        <v>268</v>
      </c>
      <c r="K212" s="10" t="n">
        <v>0.9323229724153127</v>
      </c>
      <c r="L212" s="10" t="n">
        <v>0.00154532967032967</v>
      </c>
    </row>
    <row r="213">
      <c r="A213" s="7" t="n">
        <v>8</v>
      </c>
      <c r="B213" s="7" t="n">
        <v>2</v>
      </c>
      <c r="C213" s="7" t="n">
        <v>16</v>
      </c>
      <c r="D213" s="7" t="n">
        <v>2</v>
      </c>
      <c r="E213" s="7" t="inlineStr">
        <is>
          <t>Emergent (EA)</t>
        </is>
      </c>
      <c r="F213" s="8" t="n">
        <v>173</v>
      </c>
      <c r="G213" s="9" t="n">
        <v>1</v>
      </c>
      <c r="H213" s="10" t="n">
        <v>0.6869970374677511</v>
      </c>
      <c r="I213" s="11" t="n">
        <v>2</v>
      </c>
      <c r="J213" s="8" t="n">
        <v>113</v>
      </c>
      <c r="K213" s="10" t="n">
        <v>0.6543296513731621</v>
      </c>
      <c r="L213" s="10" t="n">
        <v>0.006864161849710983</v>
      </c>
    </row>
    <row r="214">
      <c r="A214" s="7" t="n">
        <v>8</v>
      </c>
      <c r="B214" s="7" t="n">
        <v>3</v>
      </c>
      <c r="C214" s="7" t="n">
        <v>16</v>
      </c>
      <c r="D214" s="7" t="n">
        <v>2</v>
      </c>
      <c r="E214" s="7" t="inlineStr">
        <is>
          <t>Emergent (EA)</t>
        </is>
      </c>
      <c r="F214" s="8" t="n">
        <v>189</v>
      </c>
      <c r="G214" s="9" t="n">
        <v>1</v>
      </c>
      <c r="H214" s="10" t="n">
        <v>0.6698484465356849</v>
      </c>
      <c r="I214" s="11" t="n">
        <v>2</v>
      </c>
      <c r="J214" s="8" t="n">
        <v>144</v>
      </c>
      <c r="K214" s="10" t="n">
        <v>0.4651721322000893</v>
      </c>
      <c r="L214" s="10" t="n">
        <v>0.006613756613756613</v>
      </c>
    </row>
    <row r="215">
      <c r="A215" s="7" t="n">
        <v>8</v>
      </c>
      <c r="B215" s="7" t="n">
        <v>4</v>
      </c>
      <c r="C215" s="7" t="n">
        <v>16</v>
      </c>
      <c r="D215" s="7" t="n">
        <v>2</v>
      </c>
      <c r="E215" s="7" t="inlineStr">
        <is>
          <t>Emergent (EA)</t>
        </is>
      </c>
      <c r="F215" s="8" t="n">
        <v>81</v>
      </c>
      <c r="G215" s="9" t="n">
        <v>1</v>
      </c>
      <c r="H215" s="10" t="n">
        <v>0.9203392680588147</v>
      </c>
      <c r="I215" s="11" t="n">
        <v>2</v>
      </c>
      <c r="J215" s="8" t="n">
        <v>42</v>
      </c>
      <c r="K215" s="10" t="n">
        <v>0.5739216831537512</v>
      </c>
      <c r="L215" s="10" t="n">
        <v>0.006172839506172839</v>
      </c>
    </row>
    <row r="216">
      <c r="A216" s="7" t="n">
        <v>8</v>
      </c>
      <c r="B216" s="7" t="n">
        <v>5</v>
      </c>
      <c r="C216" s="7" t="n">
        <v>16</v>
      </c>
      <c r="D216" s="7" t="n">
        <v>2</v>
      </c>
      <c r="E216" s="7" t="inlineStr">
        <is>
          <t>Emergent (EA)</t>
        </is>
      </c>
      <c r="F216" s="8" t="n">
        <v>341</v>
      </c>
      <c r="G216" s="9" t="n">
        <v>1</v>
      </c>
      <c r="H216" s="10" t="n">
        <v>0.9050788194228991</v>
      </c>
      <c r="I216" s="11" t="n">
        <v>2</v>
      </c>
      <c r="J216" s="8" t="n">
        <v>171</v>
      </c>
      <c r="K216" s="10" t="n">
        <v>0.6252047884244049</v>
      </c>
      <c r="L216" s="10" t="n">
        <v>0.0003665689149560117</v>
      </c>
    </row>
    <row r="217">
      <c r="A217" s="7" t="n">
        <v>8</v>
      </c>
      <c r="B217" s="7" t="n">
        <v>6</v>
      </c>
      <c r="C217" s="7" t="n">
        <v>16</v>
      </c>
      <c r="D217" s="7" t="n">
        <v>2</v>
      </c>
      <c r="E217" s="7" t="inlineStr">
        <is>
          <t>Emergent (EA)</t>
        </is>
      </c>
      <c r="F217" s="8" t="n">
        <v>238</v>
      </c>
      <c r="G217" s="9" t="n">
        <v>1</v>
      </c>
      <c r="H217" s="10" t="n">
        <v>0.6560151183888564</v>
      </c>
      <c r="I217" s="11" t="n">
        <v>2</v>
      </c>
      <c r="J217" s="8" t="n">
        <v>210</v>
      </c>
      <c r="K217" s="10" t="n">
        <v>0.6106193610169611</v>
      </c>
      <c r="L217" s="10" t="n">
        <v>0.001050420168067227</v>
      </c>
    </row>
    <row r="218">
      <c r="A218" s="7" t="n">
        <v>8</v>
      </c>
      <c r="B218" s="7" t="n">
        <v>7</v>
      </c>
      <c r="C218" s="7" t="n">
        <v>16</v>
      </c>
      <c r="D218" s="7" t="n">
        <v>2</v>
      </c>
      <c r="E218" s="7" t="inlineStr">
        <is>
          <t>Emergent (EA)</t>
        </is>
      </c>
      <c r="F218" s="8" t="n">
        <v>173</v>
      </c>
      <c r="G218" s="9" t="n">
        <v>1</v>
      </c>
      <c r="H218" s="10" t="n">
        <v>0.7376399537618659</v>
      </c>
      <c r="I218" s="11" t="n">
        <v>2</v>
      </c>
      <c r="J218" s="8" t="n">
        <v>119</v>
      </c>
      <c r="K218" s="10" t="n">
        <v>0.5659430661455082</v>
      </c>
      <c r="L218" s="10" t="n">
        <v>0.01625722543352601</v>
      </c>
    </row>
    <row r="219">
      <c r="A219" s="7" t="n">
        <v>8</v>
      </c>
      <c r="B219" s="7" t="n">
        <v>8</v>
      </c>
      <c r="C219" s="7" t="n">
        <v>16</v>
      </c>
      <c r="D219" s="7" t="n">
        <v>2</v>
      </c>
      <c r="E219" s="7" t="inlineStr">
        <is>
          <t>Emergent (EA)</t>
        </is>
      </c>
      <c r="F219" s="8" t="n">
        <v>123</v>
      </c>
      <c r="G219" s="9" t="n">
        <v>1</v>
      </c>
      <c r="H219" s="10" t="n">
        <v>0.7791183984074945</v>
      </c>
      <c r="I219" s="11" t="n">
        <v>2</v>
      </c>
      <c r="J219" s="8" t="n">
        <v>75</v>
      </c>
      <c r="K219" s="10" t="n">
        <v>0.5843258925329605</v>
      </c>
      <c r="L219" s="10" t="n">
        <v>0.0005081300813008131</v>
      </c>
    </row>
    <row r="220">
      <c r="A220" s="7" t="n">
        <v>8</v>
      </c>
      <c r="B220" s="7" t="n">
        <v>9</v>
      </c>
      <c r="C220" s="7" t="n">
        <v>16</v>
      </c>
      <c r="D220" s="7" t="n">
        <v>2</v>
      </c>
      <c r="E220" s="7" t="inlineStr">
        <is>
          <t>Emergent (EA)</t>
        </is>
      </c>
      <c r="F220" s="8" t="n">
        <v>306</v>
      </c>
      <c r="G220" s="9" t="n">
        <v>1</v>
      </c>
      <c r="H220" s="10" t="n">
        <v>1.144510622719388</v>
      </c>
      <c r="I220" s="11" t="n">
        <v>2</v>
      </c>
      <c r="J220" s="8" t="n">
        <v>40</v>
      </c>
      <c r="K220" s="10" t="n">
        <v>1.02456136650179</v>
      </c>
      <c r="L220" s="10" t="n">
        <v>0.007148692810457516</v>
      </c>
    </row>
    <row r="221">
      <c r="A221" s="7" t="n">
        <v>8</v>
      </c>
      <c r="B221" s="7" t="n">
        <v>10</v>
      </c>
      <c r="C221" s="7" t="n">
        <v>16</v>
      </c>
      <c r="D221" s="7" t="n">
        <v>2</v>
      </c>
      <c r="E221" s="7" t="inlineStr">
        <is>
          <t>Emergent (EA)</t>
        </is>
      </c>
      <c r="F221" s="8" t="n">
        <v>334</v>
      </c>
      <c r="G221" s="9" t="n">
        <v>1</v>
      </c>
      <c r="H221" s="10" t="n">
        <v>0.6904398236808609</v>
      </c>
      <c r="I221" s="11" t="n">
        <v>2</v>
      </c>
      <c r="J221" s="8" t="n">
        <v>165</v>
      </c>
      <c r="K221" s="10" t="n">
        <v>0.5464712055887022</v>
      </c>
      <c r="L221" s="10" t="n">
        <v>0.00748502994011976</v>
      </c>
    </row>
    <row r="222">
      <c r="A222" s="7" t="n">
        <v>8</v>
      </c>
      <c r="B222" s="7" t="n">
        <v>11</v>
      </c>
      <c r="C222" s="7" t="n">
        <v>16</v>
      </c>
      <c r="D222" s="7" t="n">
        <v>2</v>
      </c>
      <c r="E222" s="7" t="inlineStr">
        <is>
          <t>Emergent (EA)</t>
        </is>
      </c>
      <c r="F222" s="8" t="n">
        <v>141</v>
      </c>
      <c r="G222" s="9" t="n">
        <v>1</v>
      </c>
      <c r="H222" s="10" t="n">
        <v>0.7587686486175986</v>
      </c>
      <c r="I222" s="11" t="n">
        <v>2</v>
      </c>
      <c r="J222" s="8" t="n">
        <v>111</v>
      </c>
      <c r="K222" s="10" t="n">
        <v>0.7120753425609651</v>
      </c>
      <c r="L222" s="10" t="n">
        <v>0.006648936170212766</v>
      </c>
    </row>
    <row r="223">
      <c r="A223" s="7" t="n">
        <v>8</v>
      </c>
      <c r="B223" s="7" t="n">
        <v>12</v>
      </c>
      <c r="C223" s="7" t="n">
        <v>16</v>
      </c>
      <c r="D223" s="7" t="n">
        <v>2</v>
      </c>
      <c r="E223" s="7" t="inlineStr">
        <is>
          <t>Emergent (EA)</t>
        </is>
      </c>
      <c r="F223" s="8" t="n">
        <v>227</v>
      </c>
      <c r="G223" s="9" t="n">
        <v>1</v>
      </c>
      <c r="H223" s="10" t="n">
        <v>0.6989900853746228</v>
      </c>
      <c r="I223" s="11" t="n">
        <v>2</v>
      </c>
      <c r="J223" s="8" t="n">
        <v>181</v>
      </c>
      <c r="K223" s="10" t="n">
        <v>0.6778264407973544</v>
      </c>
      <c r="L223" s="10" t="n">
        <v>0.004405286343612335</v>
      </c>
    </row>
    <row r="224">
      <c r="A224" s="7" t="n">
        <v>8</v>
      </c>
      <c r="B224" s="7" t="n">
        <v>13</v>
      </c>
      <c r="C224" s="7" t="n">
        <v>16</v>
      </c>
      <c r="D224" s="7" t="n">
        <v>2</v>
      </c>
      <c r="E224" s="7" t="inlineStr">
        <is>
          <t>Emergent (EA)</t>
        </is>
      </c>
      <c r="F224" s="8" t="n">
        <v>201</v>
      </c>
      <c r="G224" s="9" t="n">
        <v>1</v>
      </c>
      <c r="H224" s="10" t="n">
        <v>0.7019570893125893</v>
      </c>
      <c r="I224" s="11" t="n">
        <v>2</v>
      </c>
      <c r="J224" s="8" t="n">
        <v>126</v>
      </c>
      <c r="K224" s="10" t="n">
        <v>0.5148730241123949</v>
      </c>
      <c r="L224" s="10" t="n">
        <v>0.008395522388059701</v>
      </c>
    </row>
    <row r="225">
      <c r="A225" s="7" t="n">
        <v>8</v>
      </c>
      <c r="B225" s="7" t="n">
        <v>14</v>
      </c>
      <c r="C225" s="7" t="n">
        <v>16</v>
      </c>
      <c r="D225" s="7" t="n">
        <v>2</v>
      </c>
      <c r="E225" s="7" t="inlineStr">
        <is>
          <t>Emergent (EA)</t>
        </is>
      </c>
      <c r="F225" s="8" t="n">
        <v>81</v>
      </c>
      <c r="G225" s="9" t="n">
        <v>1</v>
      </c>
      <c r="H225" s="10" t="n">
        <v>0.7624974671277054</v>
      </c>
      <c r="I225" s="11" t="n">
        <v>2</v>
      </c>
      <c r="J225" s="8" t="n">
        <v>36</v>
      </c>
      <c r="K225" s="10" t="n">
        <v>0.6250219945520272</v>
      </c>
      <c r="L225" s="10" t="n">
        <v>0.01234567901234568</v>
      </c>
    </row>
    <row r="226">
      <c r="A226" s="7" t="n">
        <v>8</v>
      </c>
      <c r="B226" s="7" t="n">
        <v>15</v>
      </c>
      <c r="C226" s="7" t="n">
        <v>16</v>
      </c>
      <c r="D226" s="7" t="n">
        <v>2</v>
      </c>
      <c r="E226" s="7" t="inlineStr">
        <is>
          <t>Emergent (EA)</t>
        </is>
      </c>
      <c r="F226" s="8" t="n">
        <v>149</v>
      </c>
      <c r="G226" s="9" t="n">
        <v>1</v>
      </c>
      <c r="H226" s="10" t="n">
        <v>1.231048563044442</v>
      </c>
      <c r="I226" s="11" t="n">
        <v>2</v>
      </c>
      <c r="J226" s="8" t="n">
        <v>37</v>
      </c>
      <c r="K226" s="10" t="n">
        <v>0.5949028399728387</v>
      </c>
      <c r="L226" s="10" t="n">
        <v>0.02265100671140939</v>
      </c>
    </row>
    <row r="227">
      <c r="A227" s="7" t="n">
        <v>8</v>
      </c>
      <c r="B227" s="7" t="n">
        <v>16</v>
      </c>
      <c r="C227" s="7" t="n">
        <v>16</v>
      </c>
      <c r="D227" s="7" t="n">
        <v>2</v>
      </c>
      <c r="E227" s="7" t="inlineStr">
        <is>
          <t>Emergent (EA)</t>
        </is>
      </c>
      <c r="F227" s="8" t="n">
        <v>192</v>
      </c>
      <c r="G227" s="9" t="n">
        <v>1</v>
      </c>
      <c r="H227" s="10" t="n">
        <v>0.8641586689466388</v>
      </c>
      <c r="I227" s="11" t="n">
        <v>2</v>
      </c>
      <c r="J227" s="8" t="n">
        <v>98</v>
      </c>
      <c r="K227" s="10" t="n">
        <v>0.8353085043092363</v>
      </c>
      <c r="L227" s="10" t="n">
        <v>0</v>
      </c>
    </row>
    <row r="228">
      <c r="A228" s="7" t="n">
        <v>8</v>
      </c>
      <c r="B228" s="7" t="n">
        <v>17</v>
      </c>
      <c r="C228" s="7" t="n">
        <v>16</v>
      </c>
      <c r="D228" s="7" t="n">
        <v>2</v>
      </c>
      <c r="E228" s="7" t="inlineStr">
        <is>
          <t>Emergent (EA)</t>
        </is>
      </c>
      <c r="F228" s="8" t="n">
        <v>327</v>
      </c>
      <c r="G228" s="9" t="n">
        <v>1</v>
      </c>
      <c r="H228" s="10" t="n">
        <v>0.7080770540282978</v>
      </c>
      <c r="I228" s="11" t="n">
        <v>2</v>
      </c>
      <c r="J228" s="8" t="n">
        <v>219</v>
      </c>
      <c r="K228" s="10" t="n">
        <v>0.6172939867640048</v>
      </c>
      <c r="L228" s="10" t="n">
        <v>0.007071865443425076</v>
      </c>
    </row>
    <row r="229">
      <c r="A229" s="7" t="n">
        <v>8</v>
      </c>
      <c r="B229" s="7" t="n">
        <v>18</v>
      </c>
      <c r="C229" s="7" t="n">
        <v>16</v>
      </c>
      <c r="D229" s="7" t="n">
        <v>2</v>
      </c>
      <c r="E229" s="7" t="inlineStr">
        <is>
          <t>Emergent (EA)</t>
        </is>
      </c>
      <c r="F229" s="8" t="n">
        <v>86</v>
      </c>
      <c r="G229" s="9" t="n">
        <v>1</v>
      </c>
      <c r="H229" s="10" t="n">
        <v>2.879396023751243</v>
      </c>
      <c r="I229" s="11" t="n">
        <v>2</v>
      </c>
      <c r="J229" s="8" t="n">
        <v>51</v>
      </c>
      <c r="K229" s="10" t="n">
        <v>3.516889286457264</v>
      </c>
      <c r="L229" s="10" t="n">
        <v>0.0007267441860465116</v>
      </c>
    </row>
    <row r="230">
      <c r="A230" s="7" t="n">
        <v>8</v>
      </c>
      <c r="B230" s="7" t="n">
        <v>19</v>
      </c>
      <c r="C230" s="7" t="n">
        <v>16</v>
      </c>
      <c r="D230" s="7" t="n">
        <v>2</v>
      </c>
      <c r="E230" s="7" t="inlineStr">
        <is>
          <t>Emergent (EA)</t>
        </is>
      </c>
      <c r="F230" s="8" t="n">
        <v>246</v>
      </c>
      <c r="G230" s="9" t="n">
        <v>1</v>
      </c>
      <c r="H230" s="10" t="n">
        <v>0.692832442229524</v>
      </c>
      <c r="I230" s="11" t="n">
        <v>2</v>
      </c>
      <c r="J230" s="8" t="n">
        <v>92</v>
      </c>
      <c r="K230" s="10" t="n">
        <v>0.5298930632999554</v>
      </c>
      <c r="L230" s="10" t="n">
        <v>0.005589430894308943</v>
      </c>
    </row>
    <row r="231">
      <c r="A231" s="7" t="n">
        <v>8</v>
      </c>
      <c r="B231" s="7" t="n">
        <v>20</v>
      </c>
      <c r="C231" s="7" t="n">
        <v>16</v>
      </c>
      <c r="D231" s="7" t="n">
        <v>2</v>
      </c>
      <c r="E231" s="7" t="inlineStr">
        <is>
          <t>Emergent (EA)</t>
        </is>
      </c>
      <c r="F231" s="8" t="n">
        <v>247</v>
      </c>
      <c r="G231" s="9" t="n">
        <v>1</v>
      </c>
      <c r="H231" s="10" t="n">
        <v>0.6502019269286597</v>
      </c>
      <c r="I231" s="11" t="n">
        <v>2</v>
      </c>
      <c r="J231" s="8" t="n">
        <v>134</v>
      </c>
      <c r="K231" s="10" t="n">
        <v>0.5796288710593719</v>
      </c>
      <c r="L231" s="10" t="n">
        <v>0.008856275303643725</v>
      </c>
    </row>
    <row r="232">
      <c r="A232" s="7" t="n">
        <v>8</v>
      </c>
      <c r="B232" s="7" t="n">
        <v>21</v>
      </c>
      <c r="C232" s="7" t="n">
        <v>16</v>
      </c>
      <c r="D232" s="7" t="n">
        <v>2</v>
      </c>
      <c r="E232" s="7" t="inlineStr">
        <is>
          <t>Emergent (EA)</t>
        </is>
      </c>
      <c r="F232" s="8" t="n">
        <v>71</v>
      </c>
      <c r="G232" s="9" t="n">
        <v>1</v>
      </c>
      <c r="H232" s="10" t="n">
        <v>1.020349953958299</v>
      </c>
      <c r="I232" s="11" t="n">
        <v>2</v>
      </c>
      <c r="J232" s="8" t="n">
        <v>39</v>
      </c>
      <c r="K232" s="10" t="n">
        <v>0.6374694023336398</v>
      </c>
      <c r="L232" s="10" t="n">
        <v>0.002640845070422535</v>
      </c>
    </row>
    <row r="233">
      <c r="A233" s="7" t="n">
        <v>8</v>
      </c>
      <c r="B233" s="7" t="n">
        <v>22</v>
      </c>
      <c r="C233" s="7" t="n">
        <v>16</v>
      </c>
      <c r="D233" s="7" t="n">
        <v>2</v>
      </c>
      <c r="E233" s="7" t="inlineStr">
        <is>
          <t>Emergent (EA)</t>
        </is>
      </c>
      <c r="F233" s="8" t="n">
        <v>117</v>
      </c>
      <c r="G233" s="9" t="n">
        <v>1</v>
      </c>
      <c r="H233" s="10" t="n">
        <v>1.793605121098628</v>
      </c>
      <c r="I233" s="11" t="n">
        <v>2</v>
      </c>
      <c r="J233" s="8" t="n">
        <v>31</v>
      </c>
      <c r="K233" s="10" t="n">
        <v>0.6393377270637867</v>
      </c>
      <c r="L233" s="10" t="n">
        <v>0.002136752136752137</v>
      </c>
    </row>
    <row r="234">
      <c r="A234" s="7" t="n">
        <v>8</v>
      </c>
      <c r="B234" s="7" t="n">
        <v>23</v>
      </c>
      <c r="C234" s="7" t="n">
        <v>16</v>
      </c>
      <c r="D234" s="7" t="n">
        <v>2</v>
      </c>
      <c r="E234" s="7" t="inlineStr">
        <is>
          <t>Emergent (EA)</t>
        </is>
      </c>
      <c r="F234" s="8" t="n">
        <v>111</v>
      </c>
      <c r="G234" s="9" t="n">
        <v>1</v>
      </c>
      <c r="H234" s="10" t="n">
        <v>0.8464242284759173</v>
      </c>
      <c r="I234" s="11" t="n">
        <v>2</v>
      </c>
      <c r="J234" s="8" t="n">
        <v>56</v>
      </c>
      <c r="K234" s="10" t="n">
        <v>0.5892469087023401</v>
      </c>
      <c r="L234" s="10" t="n">
        <v>0.01689189189189189</v>
      </c>
    </row>
    <row r="235">
      <c r="A235" s="7" t="n">
        <v>8</v>
      </c>
      <c r="B235" s="7" t="n">
        <v>24</v>
      </c>
      <c r="C235" s="7" t="n">
        <v>16</v>
      </c>
      <c r="D235" s="7" t="n">
        <v>2</v>
      </c>
      <c r="E235" s="7" t="inlineStr">
        <is>
          <t>Emergent (EA)</t>
        </is>
      </c>
      <c r="F235" s="8" t="n">
        <v>136</v>
      </c>
      <c r="G235" s="9" t="n">
        <v>1</v>
      </c>
      <c r="H235" s="10" t="n">
        <v>0.8605688113497176</v>
      </c>
      <c r="I235" s="11" t="n">
        <v>2</v>
      </c>
      <c r="J235" s="8" t="n">
        <v>78</v>
      </c>
      <c r="K235" s="10" t="n">
        <v>0.6071989691029698</v>
      </c>
      <c r="L235" s="10" t="n">
        <v>0.003216911764705882</v>
      </c>
    </row>
    <row r="236">
      <c r="A236" s="7" t="n">
        <v>8</v>
      </c>
      <c r="B236" s="7" t="n">
        <v>25</v>
      </c>
      <c r="C236" s="7" t="n">
        <v>16</v>
      </c>
      <c r="D236" s="7" t="n">
        <v>2</v>
      </c>
      <c r="E236" s="7" t="inlineStr">
        <is>
          <t>Emergent (EA)</t>
        </is>
      </c>
      <c r="F236" s="8" t="n">
        <v>148</v>
      </c>
      <c r="G236" s="9" t="n">
        <v>1</v>
      </c>
      <c r="H236" s="10" t="n">
        <v>3.007950071404358</v>
      </c>
      <c r="I236" s="11" t="n">
        <v>2</v>
      </c>
      <c r="J236" s="8" t="n">
        <v>74</v>
      </c>
      <c r="K236" s="10" t="n">
        <v>3.177180262128753</v>
      </c>
      <c r="L236" s="10" t="n">
        <v>0.004645270270270271</v>
      </c>
    </row>
    <row r="237">
      <c r="A237" s="7" t="n">
        <v>8</v>
      </c>
      <c r="B237" s="7" t="n">
        <v>26</v>
      </c>
      <c r="C237" s="7" t="n">
        <v>16</v>
      </c>
      <c r="D237" s="7" t="n">
        <v>2</v>
      </c>
      <c r="E237" s="7" t="inlineStr">
        <is>
          <t>Emergent (EA)</t>
        </is>
      </c>
      <c r="F237" s="8" t="n">
        <v>219</v>
      </c>
      <c r="G237" s="9" t="n">
        <v>1</v>
      </c>
      <c r="H237" s="10" t="n">
        <v>0.7425623242827478</v>
      </c>
      <c r="I237" s="11" t="n">
        <v>2</v>
      </c>
      <c r="J237" s="8" t="n">
        <v>167</v>
      </c>
      <c r="K237" s="10" t="n">
        <v>0.5229377981047894</v>
      </c>
      <c r="L237" s="10" t="n">
        <v>0.003424657534246575</v>
      </c>
    </row>
    <row r="238">
      <c r="A238" s="7" t="n">
        <v>8</v>
      </c>
      <c r="B238" s="7" t="n">
        <v>27</v>
      </c>
      <c r="C238" s="7" t="n">
        <v>16</v>
      </c>
      <c r="D238" s="7" t="n">
        <v>2</v>
      </c>
      <c r="E238" s="7" t="inlineStr">
        <is>
          <t>Emergent (EA)</t>
        </is>
      </c>
      <c r="F238" s="8" t="n">
        <v>347</v>
      </c>
      <c r="G238" s="9" t="n">
        <v>1</v>
      </c>
      <c r="H238" s="10" t="n">
        <v>0.658276811179781</v>
      </c>
      <c r="I238" s="11" t="n">
        <v>2</v>
      </c>
      <c r="J238" s="8" t="n">
        <v>179</v>
      </c>
      <c r="K238" s="10" t="n">
        <v>0.6571834324636758</v>
      </c>
      <c r="L238" s="10" t="n">
        <v>0.01242795389048991</v>
      </c>
    </row>
    <row r="239">
      <c r="A239" s="7" t="n">
        <v>8</v>
      </c>
      <c r="B239" s="7" t="n">
        <v>28</v>
      </c>
      <c r="C239" s="7" t="n">
        <v>16</v>
      </c>
      <c r="D239" s="7" t="n">
        <v>2</v>
      </c>
      <c r="E239" s="7" t="inlineStr">
        <is>
          <t>Emergent (EA)</t>
        </is>
      </c>
      <c r="F239" s="8" t="n">
        <v>149</v>
      </c>
      <c r="G239" s="9" t="n">
        <v>1</v>
      </c>
      <c r="H239" s="10" t="n">
        <v>0.787359574845539</v>
      </c>
      <c r="I239" s="11" t="n">
        <v>2</v>
      </c>
      <c r="J239" s="8" t="n">
        <v>121</v>
      </c>
      <c r="K239" s="10" t="n">
        <v>0.9257195400715718</v>
      </c>
      <c r="L239" s="10" t="n">
        <v>0.001258389261744966</v>
      </c>
    </row>
    <row r="240">
      <c r="A240" s="7" t="n">
        <v>8</v>
      </c>
      <c r="B240" s="7" t="n">
        <v>29</v>
      </c>
      <c r="C240" s="7" t="n">
        <v>16</v>
      </c>
      <c r="D240" s="7" t="n">
        <v>2</v>
      </c>
      <c r="E240" s="7" t="inlineStr">
        <is>
          <t>Emergent (EA)</t>
        </is>
      </c>
      <c r="F240" s="8" t="n">
        <v>132</v>
      </c>
      <c r="G240" s="9" t="n">
        <v>1</v>
      </c>
      <c r="H240" s="10" t="n">
        <v>0.6516613356817785</v>
      </c>
      <c r="I240" s="11" t="n">
        <v>2</v>
      </c>
      <c r="J240" s="8" t="n">
        <v>107</v>
      </c>
      <c r="K240" s="10" t="n">
        <v>0.6173131633277307</v>
      </c>
      <c r="L240" s="10" t="n">
        <v>0</v>
      </c>
    </row>
    <row r="241">
      <c r="A241" s="7" t="n">
        <v>8</v>
      </c>
      <c r="B241" s="7" t="n">
        <v>30</v>
      </c>
      <c r="C241" s="7" t="n">
        <v>16</v>
      </c>
      <c r="D241" s="7" t="n">
        <v>2</v>
      </c>
      <c r="E241" s="7" t="inlineStr">
        <is>
          <t>Emergent (EA)</t>
        </is>
      </c>
      <c r="F241" s="8" t="n">
        <v>150</v>
      </c>
      <c r="G241" s="9" t="n">
        <v>1</v>
      </c>
      <c r="H241" s="10" t="n">
        <v>0.7350751544516652</v>
      </c>
      <c r="I241" s="11" t="n">
        <v>2</v>
      </c>
      <c r="J241" s="8" t="n">
        <v>111</v>
      </c>
      <c r="K241" s="10" t="n">
        <v>0.5673006291990563</v>
      </c>
      <c r="L241" s="10" t="n">
        <v>0.0025</v>
      </c>
    </row>
    <row r="242">
      <c r="A242" s="7" t="n">
        <v>9</v>
      </c>
      <c r="B242" s="7" t="n">
        <v>1</v>
      </c>
      <c r="C242" s="7" t="n">
        <v>16</v>
      </c>
      <c r="D242" s="7" t="n">
        <v>3</v>
      </c>
      <c r="E242" s="7" t="inlineStr">
        <is>
          <t>Emergent (EA)</t>
        </is>
      </c>
      <c r="F242" s="8" t="n">
        <v>255</v>
      </c>
      <c r="G242" s="9" t="n">
        <v>1</v>
      </c>
      <c r="H242" s="10" t="n">
        <v>1.237661985273848</v>
      </c>
      <c r="I242" s="11" t="n">
        <v>3</v>
      </c>
      <c r="J242" s="8" t="n">
        <v>105</v>
      </c>
      <c r="K242" s="10" t="n">
        <v>0.9122529131434015</v>
      </c>
      <c r="L242" s="10" t="n">
        <v>0.008823529411764706</v>
      </c>
    </row>
    <row r="243">
      <c r="A243" s="7" t="n">
        <v>9</v>
      </c>
      <c r="B243" s="7" t="n">
        <v>2</v>
      </c>
      <c r="C243" s="7" t="n">
        <v>16</v>
      </c>
      <c r="D243" s="7" t="n">
        <v>3</v>
      </c>
      <c r="E243" s="7" t="inlineStr">
        <is>
          <t>Emergent (EA)</t>
        </is>
      </c>
      <c r="F243" s="8" t="n">
        <v>398</v>
      </c>
      <c r="G243" s="9" t="n">
        <v>1</v>
      </c>
      <c r="H243" s="10" t="n">
        <v>0.7477893822589838</v>
      </c>
      <c r="I243" s="11" t="n">
        <v>3</v>
      </c>
      <c r="J243" s="8" t="n">
        <v>182</v>
      </c>
      <c r="K243" s="10" t="n">
        <v>0.5649733333929688</v>
      </c>
      <c r="L243" s="10" t="n">
        <v>0.007223618090452261</v>
      </c>
    </row>
    <row r="244">
      <c r="A244" s="7" t="n">
        <v>9</v>
      </c>
      <c r="B244" s="7" t="n">
        <v>3</v>
      </c>
      <c r="C244" s="7" t="n">
        <v>16</v>
      </c>
      <c r="D244" s="7" t="n">
        <v>3</v>
      </c>
      <c r="E244" s="7" t="inlineStr">
        <is>
          <t>Emergent (EA)</t>
        </is>
      </c>
      <c r="F244" s="8" t="n">
        <v>154</v>
      </c>
      <c r="G244" s="9" t="n">
        <v>1</v>
      </c>
      <c r="H244" s="10" t="n">
        <v>0.7105297367284815</v>
      </c>
      <c r="I244" s="11" t="n">
        <v>3</v>
      </c>
      <c r="J244" s="8" t="n">
        <v>28.5</v>
      </c>
      <c r="K244" s="10" t="n">
        <v>0.604802789694496</v>
      </c>
      <c r="L244" s="10" t="n">
        <v>0.02719155844155844</v>
      </c>
    </row>
    <row r="245">
      <c r="A245" s="7" t="n">
        <v>9</v>
      </c>
      <c r="B245" s="7" t="n">
        <v>4</v>
      </c>
      <c r="C245" s="7" t="n">
        <v>16</v>
      </c>
      <c r="D245" s="7" t="n">
        <v>3</v>
      </c>
      <c r="E245" s="7" t="inlineStr">
        <is>
          <t>Emergent (EA)</t>
        </is>
      </c>
      <c r="F245" s="8" t="n">
        <v>97</v>
      </c>
      <c r="G245" s="9" t="n">
        <v>1</v>
      </c>
      <c r="H245" s="10" t="n">
        <v>0.9048984378899046</v>
      </c>
      <c r="I245" s="11" t="n">
        <v>3</v>
      </c>
      <c r="J245" s="8" t="n">
        <v>32.5</v>
      </c>
      <c r="K245" s="10" t="n">
        <v>0.6604155601704477</v>
      </c>
      <c r="L245" s="10" t="n">
        <v>0.02770618556701031</v>
      </c>
    </row>
    <row r="246">
      <c r="A246" s="7" t="n">
        <v>9</v>
      </c>
      <c r="B246" s="7" t="n">
        <v>5</v>
      </c>
      <c r="C246" s="7" t="n">
        <v>16</v>
      </c>
      <c r="D246" s="7" t="n">
        <v>3</v>
      </c>
      <c r="E246" s="7" t="inlineStr">
        <is>
          <t>Emergent (EA)</t>
        </is>
      </c>
      <c r="F246" s="8" t="n">
        <v>312</v>
      </c>
      <c r="G246" s="9" t="n">
        <v>1</v>
      </c>
      <c r="H246" s="10" t="n">
        <v>0.6941353041748493</v>
      </c>
      <c r="I246" s="11" t="n">
        <v>3</v>
      </c>
      <c r="J246" s="8" t="n">
        <v>103</v>
      </c>
      <c r="K246" s="10" t="n">
        <v>0.6130724172337686</v>
      </c>
      <c r="L246" s="10" t="n">
        <v>0.01041666666666667</v>
      </c>
    </row>
    <row r="247">
      <c r="A247" s="7" t="n">
        <v>9</v>
      </c>
      <c r="B247" s="7" t="n">
        <v>6</v>
      </c>
      <c r="C247" s="7" t="n">
        <v>16</v>
      </c>
      <c r="D247" s="7" t="n">
        <v>3</v>
      </c>
      <c r="E247" s="7" t="inlineStr">
        <is>
          <t>Emergent (EA)</t>
        </is>
      </c>
      <c r="F247" s="8" t="n">
        <v>385</v>
      </c>
      <c r="G247" s="9" t="n">
        <v>1</v>
      </c>
      <c r="H247" s="10" t="n">
        <v>0.9717152006701659</v>
      </c>
      <c r="I247" s="11" t="n">
        <v>3</v>
      </c>
      <c r="J247" s="8" t="n">
        <v>136</v>
      </c>
      <c r="K247" s="10" t="n">
        <v>0.5876845102527603</v>
      </c>
      <c r="L247" s="10" t="n">
        <v>0.01006493506493506</v>
      </c>
    </row>
    <row r="248">
      <c r="A248" s="7" t="n">
        <v>9</v>
      </c>
      <c r="B248" s="7" t="n">
        <v>7</v>
      </c>
      <c r="C248" s="7" t="n">
        <v>16</v>
      </c>
      <c r="D248" s="7" t="n">
        <v>3</v>
      </c>
      <c r="E248" s="7" t="inlineStr">
        <is>
          <t>Emergent (EA)</t>
        </is>
      </c>
      <c r="F248" s="8" t="n">
        <v>126</v>
      </c>
      <c r="G248" s="9" t="n">
        <v>1</v>
      </c>
      <c r="H248" s="10" t="n">
        <v>2.6894243038583</v>
      </c>
      <c r="I248" s="11" t="n">
        <v>3</v>
      </c>
      <c r="J248" s="8" t="n">
        <v>44.5</v>
      </c>
      <c r="K248" s="10" t="n">
        <v>3.24519464999122</v>
      </c>
      <c r="L248" s="10" t="n">
        <v>0.000992063492063492</v>
      </c>
    </row>
    <row r="249">
      <c r="A249" s="7" t="n">
        <v>9</v>
      </c>
      <c r="B249" s="7" t="n">
        <v>8</v>
      </c>
      <c r="C249" s="7" t="n">
        <v>16</v>
      </c>
      <c r="D249" s="7" t="n">
        <v>3</v>
      </c>
      <c r="E249" s="7" t="inlineStr">
        <is>
          <t>Emergent (EA)</t>
        </is>
      </c>
      <c r="F249" s="8" t="n">
        <v>209</v>
      </c>
      <c r="G249" s="9" t="n">
        <v>1</v>
      </c>
      <c r="H249" s="10" t="n">
        <v>0.8244594800752104</v>
      </c>
      <c r="I249" s="11" t="n">
        <v>3</v>
      </c>
      <c r="J249" s="8" t="n">
        <v>83</v>
      </c>
      <c r="K249" s="10" t="n">
        <v>0.5611675371418261</v>
      </c>
      <c r="L249" s="10" t="n">
        <v>0.006578947368421052</v>
      </c>
    </row>
    <row r="250">
      <c r="A250" s="7" t="n">
        <v>9</v>
      </c>
      <c r="B250" s="7" t="n">
        <v>9</v>
      </c>
      <c r="C250" s="7" t="n">
        <v>16</v>
      </c>
      <c r="D250" s="7" t="n">
        <v>3</v>
      </c>
      <c r="E250" s="7" t="inlineStr">
        <is>
          <t>Emergent (EA)</t>
        </is>
      </c>
      <c r="F250" s="8" t="n">
        <v>162</v>
      </c>
      <c r="G250" s="9" t="n">
        <v>1</v>
      </c>
      <c r="H250" s="10" t="n">
        <v>0.8081291600447885</v>
      </c>
      <c r="I250" s="11" t="n">
        <v>3</v>
      </c>
      <c r="J250" s="8" t="n">
        <v>79.5</v>
      </c>
      <c r="K250" s="10" t="n">
        <v>0.999019016654484</v>
      </c>
      <c r="L250" s="10" t="n">
        <v>0.02083333333333333</v>
      </c>
    </row>
    <row r="251">
      <c r="A251" s="7" t="n">
        <v>9</v>
      </c>
      <c r="B251" s="7" t="n">
        <v>10</v>
      </c>
      <c r="C251" s="7" t="n">
        <v>16</v>
      </c>
      <c r="D251" s="7" t="n">
        <v>3</v>
      </c>
      <c r="E251" s="7" t="inlineStr">
        <is>
          <t>Emergent (EA)</t>
        </is>
      </c>
      <c r="F251" s="8" t="n">
        <v>339</v>
      </c>
      <c r="G251" s="9" t="n">
        <v>1</v>
      </c>
      <c r="H251" s="10" t="n">
        <v>0.684406786003528</v>
      </c>
      <c r="I251" s="11" t="n">
        <v>3</v>
      </c>
      <c r="J251" s="8" t="n">
        <v>118.5</v>
      </c>
      <c r="K251" s="10" t="n">
        <v>0.55585837269963</v>
      </c>
      <c r="L251" s="10" t="n">
        <v>0.01216814159292035</v>
      </c>
    </row>
    <row r="252">
      <c r="A252" s="7" t="n">
        <v>9</v>
      </c>
      <c r="B252" s="7" t="n">
        <v>11</v>
      </c>
      <c r="C252" s="7" t="n">
        <v>16</v>
      </c>
      <c r="D252" s="7" t="n">
        <v>3</v>
      </c>
      <c r="E252" s="7" t="inlineStr">
        <is>
          <t>Emergent (EA)</t>
        </is>
      </c>
      <c r="F252" s="8" t="n">
        <v>118</v>
      </c>
      <c r="G252" s="9" t="n">
        <v>1</v>
      </c>
      <c r="H252" s="10" t="n">
        <v>0.8821117743312833</v>
      </c>
      <c r="I252" s="11" t="n">
        <v>3</v>
      </c>
      <c r="J252" s="8" t="n">
        <v>42.5</v>
      </c>
      <c r="K252" s="10" t="n">
        <v>0.7399799063360178</v>
      </c>
      <c r="L252" s="10" t="n">
        <v>0.01747881355932203</v>
      </c>
    </row>
    <row r="253">
      <c r="A253" s="7" t="n">
        <v>9</v>
      </c>
      <c r="B253" s="7" t="n">
        <v>12</v>
      </c>
      <c r="C253" s="7" t="n">
        <v>16</v>
      </c>
      <c r="D253" s="7" t="n">
        <v>3</v>
      </c>
      <c r="E253" s="7" t="inlineStr">
        <is>
          <t>Emergent (EA)</t>
        </is>
      </c>
      <c r="F253" s="8" t="n">
        <v>292</v>
      </c>
      <c r="G253" s="9" t="n">
        <v>1</v>
      </c>
      <c r="H253" s="10" t="n">
        <v>0.8125976012612989</v>
      </c>
      <c r="I253" s="11" t="n">
        <v>3</v>
      </c>
      <c r="J253" s="8" t="n">
        <v>67</v>
      </c>
      <c r="K253" s="10" t="n">
        <v>0.5726360109445972</v>
      </c>
      <c r="L253" s="10" t="n">
        <v>0.02589897260273973</v>
      </c>
    </row>
    <row r="254">
      <c r="A254" s="7" t="n">
        <v>9</v>
      </c>
      <c r="B254" s="7" t="n">
        <v>13</v>
      </c>
      <c r="C254" s="7" t="n">
        <v>16</v>
      </c>
      <c r="D254" s="7" t="n">
        <v>3</v>
      </c>
      <c r="E254" s="7" t="inlineStr">
        <is>
          <t>Emergent (EA)</t>
        </is>
      </c>
      <c r="F254" s="8" t="n">
        <v>302</v>
      </c>
      <c r="G254" s="9" t="n">
        <v>1</v>
      </c>
      <c r="H254" s="10" t="n">
        <v>1.314246284105727</v>
      </c>
      <c r="I254" s="11" t="n">
        <v>3</v>
      </c>
      <c r="J254" s="8" t="n">
        <v>102</v>
      </c>
      <c r="K254" s="10" t="n">
        <v>1.48892419942872</v>
      </c>
      <c r="L254" s="10" t="n">
        <v>0.01655629139072848</v>
      </c>
    </row>
    <row r="255">
      <c r="A255" s="7" t="n">
        <v>9</v>
      </c>
      <c r="B255" s="7" t="n">
        <v>14</v>
      </c>
      <c r="C255" s="7" t="n">
        <v>16</v>
      </c>
      <c r="D255" s="7" t="n">
        <v>3</v>
      </c>
      <c r="E255" s="7" t="inlineStr">
        <is>
          <t>Emergent (EA)</t>
        </is>
      </c>
      <c r="F255" s="8" t="n">
        <v>214</v>
      </c>
      <c r="G255" s="9" t="n">
        <v>1</v>
      </c>
      <c r="H255" s="10" t="n">
        <v>0.6876453812417145</v>
      </c>
      <c r="I255" s="11" t="n">
        <v>3</v>
      </c>
      <c r="J255" s="8" t="n">
        <v>69</v>
      </c>
      <c r="K255" s="10" t="n">
        <v>0.6229005447643351</v>
      </c>
      <c r="L255" s="10" t="n">
        <v>0.01898364485981308</v>
      </c>
    </row>
    <row r="256">
      <c r="A256" s="7" t="n">
        <v>9</v>
      </c>
      <c r="B256" s="7" t="n">
        <v>15</v>
      </c>
      <c r="C256" s="7" t="n">
        <v>16</v>
      </c>
      <c r="D256" s="7" t="n">
        <v>3</v>
      </c>
      <c r="E256" s="7" t="inlineStr">
        <is>
          <t>Emergent (EA)</t>
        </is>
      </c>
      <c r="F256" s="8" t="n">
        <v>366</v>
      </c>
      <c r="G256" s="9" t="n">
        <v>1</v>
      </c>
      <c r="H256" s="10" t="n">
        <v>0.7047341607041816</v>
      </c>
      <c r="I256" s="11" t="n">
        <v>3</v>
      </c>
      <c r="J256" s="8" t="n">
        <v>151</v>
      </c>
      <c r="K256" s="10" t="n">
        <v>0.5568803281958082</v>
      </c>
      <c r="L256" s="10" t="n">
        <v>0.01997950819672131</v>
      </c>
    </row>
    <row r="257">
      <c r="A257" s="7" t="n">
        <v>9</v>
      </c>
      <c r="B257" s="7" t="n">
        <v>16</v>
      </c>
      <c r="C257" s="7" t="n">
        <v>16</v>
      </c>
      <c r="D257" s="7" t="n">
        <v>3</v>
      </c>
      <c r="E257" s="7" t="inlineStr">
        <is>
          <t>Emergent (EA)</t>
        </is>
      </c>
      <c r="F257" s="8" t="n">
        <v>223</v>
      </c>
      <c r="G257" s="9" t="n">
        <v>1</v>
      </c>
      <c r="H257" s="10" t="n">
        <v>0.865221768989338</v>
      </c>
      <c r="I257" s="11" t="n">
        <v>3</v>
      </c>
      <c r="J257" s="8" t="n">
        <v>82</v>
      </c>
      <c r="K257" s="10" t="n">
        <v>0.9723246653902873</v>
      </c>
      <c r="L257" s="10" t="n">
        <v>0.02214125560538117</v>
      </c>
    </row>
    <row r="258">
      <c r="A258" s="7" t="n">
        <v>9</v>
      </c>
      <c r="B258" s="7" t="n">
        <v>17</v>
      </c>
      <c r="C258" s="7" t="n">
        <v>16</v>
      </c>
      <c r="D258" s="7" t="n">
        <v>3</v>
      </c>
      <c r="E258" s="7" t="inlineStr">
        <is>
          <t>Emergent (EA)</t>
        </is>
      </c>
      <c r="F258" s="8" t="n">
        <v>148</v>
      </c>
      <c r="G258" s="9" t="n">
        <v>1</v>
      </c>
      <c r="H258" s="10" t="n">
        <v>1.679644651835617</v>
      </c>
      <c r="I258" s="11" t="n">
        <v>3</v>
      </c>
      <c r="J258" s="8" t="n">
        <v>55.5</v>
      </c>
      <c r="K258" s="10" t="n">
        <v>1.942519839691474</v>
      </c>
      <c r="L258" s="10" t="n">
        <v>0</v>
      </c>
    </row>
    <row r="259">
      <c r="A259" s="7" t="n">
        <v>9</v>
      </c>
      <c r="B259" s="7" t="n">
        <v>18</v>
      </c>
      <c r="C259" s="7" t="n">
        <v>16</v>
      </c>
      <c r="D259" s="7" t="n">
        <v>3</v>
      </c>
      <c r="E259" s="7" t="inlineStr">
        <is>
          <t>Emergent (EA)</t>
        </is>
      </c>
      <c r="F259" s="8" t="n">
        <v>134</v>
      </c>
      <c r="G259" s="9" t="n">
        <v>1</v>
      </c>
      <c r="H259" s="10" t="n">
        <v>2.143196795827082</v>
      </c>
      <c r="I259" s="11" t="n">
        <v>3</v>
      </c>
      <c r="J259" s="8" t="n">
        <v>52</v>
      </c>
      <c r="K259" s="10" t="n">
        <v>2.697647461671908</v>
      </c>
      <c r="L259" s="10" t="n">
        <v>0.0009328358208955224</v>
      </c>
    </row>
    <row r="260">
      <c r="A260" s="7" t="n">
        <v>9</v>
      </c>
      <c r="B260" s="7" t="n">
        <v>19</v>
      </c>
      <c r="C260" s="7" t="n">
        <v>16</v>
      </c>
      <c r="D260" s="7" t="n">
        <v>3</v>
      </c>
      <c r="E260" s="7" t="inlineStr">
        <is>
          <t>Emergent (EA)</t>
        </is>
      </c>
      <c r="F260" s="8" t="n">
        <v>190</v>
      </c>
      <c r="G260" s="9" t="n">
        <v>1</v>
      </c>
      <c r="H260" s="10" t="n">
        <v>0.7084608091159152</v>
      </c>
      <c r="I260" s="11" t="n">
        <v>3</v>
      </c>
      <c r="J260" s="8" t="n">
        <v>80.5</v>
      </c>
      <c r="K260" s="10" t="n">
        <v>0.7052280708838609</v>
      </c>
      <c r="L260" s="10" t="n">
        <v>0.02828947368421053</v>
      </c>
    </row>
    <row r="261">
      <c r="A261" s="7" t="n">
        <v>9</v>
      </c>
      <c r="B261" s="7" t="n">
        <v>20</v>
      </c>
      <c r="C261" s="7" t="n">
        <v>16</v>
      </c>
      <c r="D261" s="7" t="n">
        <v>3</v>
      </c>
      <c r="E261" s="7" t="inlineStr">
        <is>
          <t>Emergent (EA)</t>
        </is>
      </c>
      <c r="F261" s="8" t="n">
        <v>221</v>
      </c>
      <c r="G261" s="9" t="n">
        <v>1</v>
      </c>
      <c r="H261" s="10" t="n">
        <v>0.6647753176585645</v>
      </c>
      <c r="I261" s="11" t="n">
        <v>3</v>
      </c>
      <c r="J261" s="8" t="n">
        <v>75.5</v>
      </c>
      <c r="K261" s="10" t="n">
        <v>0.5721265519404594</v>
      </c>
      <c r="L261" s="10" t="n">
        <v>0.01527149321266968</v>
      </c>
    </row>
    <row r="262">
      <c r="A262" s="7" t="n">
        <v>9</v>
      </c>
      <c r="B262" s="7" t="n">
        <v>21</v>
      </c>
      <c r="C262" s="7" t="n">
        <v>16</v>
      </c>
      <c r="D262" s="7" t="n">
        <v>3</v>
      </c>
      <c r="E262" s="7" t="inlineStr">
        <is>
          <t>Emergent (EA)</t>
        </is>
      </c>
      <c r="F262" s="8" t="n">
        <v>353</v>
      </c>
      <c r="G262" s="9" t="n">
        <v>1</v>
      </c>
      <c r="H262" s="10" t="n">
        <v>0.7736985266411233</v>
      </c>
      <c r="I262" s="11" t="n">
        <v>3</v>
      </c>
      <c r="J262" s="8" t="n">
        <v>153.5</v>
      </c>
      <c r="K262" s="10" t="n">
        <v>0.6227445271746073</v>
      </c>
      <c r="L262" s="10" t="n">
        <v>0.003541076487252125</v>
      </c>
    </row>
    <row r="263">
      <c r="A263" s="7" t="n">
        <v>9</v>
      </c>
      <c r="B263" s="7" t="n">
        <v>22</v>
      </c>
      <c r="C263" s="7" t="n">
        <v>16</v>
      </c>
      <c r="D263" s="7" t="n">
        <v>3</v>
      </c>
      <c r="E263" s="7" t="inlineStr">
        <is>
          <t>Emergent (EA)</t>
        </is>
      </c>
      <c r="F263" s="8" t="n">
        <v>325</v>
      </c>
      <c r="G263" s="9" t="n">
        <v>1</v>
      </c>
      <c r="H263" s="10" t="n">
        <v>1.429653826551014</v>
      </c>
      <c r="I263" s="11" t="n">
        <v>3</v>
      </c>
      <c r="J263" s="8" t="n">
        <v>111.5</v>
      </c>
      <c r="K263" s="10" t="n">
        <v>1.67255667142526</v>
      </c>
      <c r="L263" s="10" t="n">
        <v>0.007692307692307693</v>
      </c>
    </row>
    <row r="264">
      <c r="A264" s="7" t="n">
        <v>9</v>
      </c>
      <c r="B264" s="7" t="n">
        <v>23</v>
      </c>
      <c r="C264" s="7" t="n">
        <v>16</v>
      </c>
      <c r="D264" s="7" t="n">
        <v>3</v>
      </c>
      <c r="E264" s="7" t="inlineStr">
        <is>
          <t>Emergent (EA)</t>
        </is>
      </c>
      <c r="F264" s="8" t="n">
        <v>176</v>
      </c>
      <c r="G264" s="9" t="n">
        <v>1</v>
      </c>
      <c r="H264" s="10" t="n">
        <v>1.302117179350708</v>
      </c>
      <c r="I264" s="11" t="n">
        <v>3</v>
      </c>
      <c r="J264" s="8" t="n">
        <v>63</v>
      </c>
      <c r="K264" s="10" t="n">
        <v>1.861133995882057</v>
      </c>
      <c r="L264" s="10" t="n">
        <v>0.004616477272727273</v>
      </c>
    </row>
    <row r="265">
      <c r="A265" s="7" t="n">
        <v>9</v>
      </c>
      <c r="B265" s="7" t="n">
        <v>24</v>
      </c>
      <c r="C265" s="7" t="n">
        <v>16</v>
      </c>
      <c r="D265" s="7" t="n">
        <v>3</v>
      </c>
      <c r="E265" s="7" t="inlineStr">
        <is>
          <t>Emergent (EA)</t>
        </is>
      </c>
      <c r="F265" s="8" t="n">
        <v>137</v>
      </c>
      <c r="G265" s="9" t="n">
        <v>1</v>
      </c>
      <c r="H265" s="10" t="n">
        <v>1.508843113234635</v>
      </c>
      <c r="I265" s="11" t="n">
        <v>3</v>
      </c>
      <c r="J265" s="8" t="n">
        <v>38.5</v>
      </c>
      <c r="K265" s="10" t="n">
        <v>1.324795418513245</v>
      </c>
      <c r="L265" s="10" t="n">
        <v>0.01140510948905109</v>
      </c>
    </row>
    <row r="266">
      <c r="A266" s="7" t="n">
        <v>9</v>
      </c>
      <c r="B266" s="7" t="n">
        <v>25</v>
      </c>
      <c r="C266" s="7" t="n">
        <v>16</v>
      </c>
      <c r="D266" s="7" t="n">
        <v>3</v>
      </c>
      <c r="E266" s="7" t="inlineStr">
        <is>
          <t>Emergent (EA)</t>
        </is>
      </c>
      <c r="F266" s="8" t="n">
        <v>303</v>
      </c>
      <c r="G266" s="9" t="n">
        <v>1</v>
      </c>
      <c r="H266" s="10" t="n">
        <v>1.141367401893425</v>
      </c>
      <c r="I266" s="11" t="n">
        <v>3</v>
      </c>
      <c r="J266" s="8" t="n">
        <v>134</v>
      </c>
      <c r="K266" s="10" t="n">
        <v>1.139951768138631</v>
      </c>
      <c r="L266" s="10" t="n">
        <v>0.008457095709570957</v>
      </c>
    </row>
    <row r="267">
      <c r="A267" s="7" t="n">
        <v>9</v>
      </c>
      <c r="B267" s="7" t="n">
        <v>26</v>
      </c>
      <c r="C267" s="7" t="n">
        <v>16</v>
      </c>
      <c r="D267" s="7" t="n">
        <v>3</v>
      </c>
      <c r="E267" s="7" t="inlineStr">
        <is>
          <t>Emergent (EA)</t>
        </is>
      </c>
      <c r="F267" s="8" t="n">
        <v>319</v>
      </c>
      <c r="G267" s="9" t="n">
        <v>1</v>
      </c>
      <c r="H267" s="10" t="n">
        <v>0.6750343019657482</v>
      </c>
      <c r="I267" s="11" t="n">
        <v>3</v>
      </c>
      <c r="J267" s="8" t="n">
        <v>105.5</v>
      </c>
      <c r="K267" s="10" t="n">
        <v>0.5728280832189451</v>
      </c>
      <c r="L267" s="10" t="n">
        <v>0.01195141065830721</v>
      </c>
    </row>
    <row r="268">
      <c r="A268" s="7" t="n">
        <v>9</v>
      </c>
      <c r="B268" s="7" t="n">
        <v>27</v>
      </c>
      <c r="C268" s="7" t="n">
        <v>16</v>
      </c>
      <c r="D268" s="7" t="n">
        <v>3</v>
      </c>
      <c r="E268" s="7" t="inlineStr">
        <is>
          <t>Emergent (EA)</t>
        </is>
      </c>
      <c r="F268" s="8" t="n">
        <v>280</v>
      </c>
      <c r="G268" s="9" t="n">
        <v>1</v>
      </c>
      <c r="H268" s="10" t="n">
        <v>0.6360819430339539</v>
      </c>
      <c r="I268" s="11" t="n">
        <v>3</v>
      </c>
      <c r="J268" s="8" t="n">
        <v>97</v>
      </c>
      <c r="K268" s="10" t="n">
        <v>0.5860975012943305</v>
      </c>
      <c r="L268" s="10" t="n">
        <v>0.006026785714285715</v>
      </c>
    </row>
    <row r="269">
      <c r="A269" s="7" t="n">
        <v>9</v>
      </c>
      <c r="B269" s="7" t="n">
        <v>28</v>
      </c>
      <c r="C269" s="7" t="n">
        <v>16</v>
      </c>
      <c r="D269" s="7" t="n">
        <v>3</v>
      </c>
      <c r="E269" s="7" t="inlineStr">
        <is>
          <t>Emergent (EA)</t>
        </is>
      </c>
      <c r="F269" s="8" t="n">
        <v>248</v>
      </c>
      <c r="G269" s="9" t="n">
        <v>1</v>
      </c>
      <c r="H269" s="10" t="n">
        <v>0.9181003200706924</v>
      </c>
      <c r="I269" s="11" t="n">
        <v>3</v>
      </c>
      <c r="J269" s="8" t="n">
        <v>96</v>
      </c>
      <c r="K269" s="10" t="n">
        <v>0.9493111147654106</v>
      </c>
      <c r="L269" s="10" t="n">
        <v>0.02368951612903226</v>
      </c>
    </row>
    <row r="270">
      <c r="A270" s="7" t="n">
        <v>9</v>
      </c>
      <c r="B270" s="7" t="n">
        <v>29</v>
      </c>
      <c r="C270" s="7" t="n">
        <v>16</v>
      </c>
      <c r="D270" s="7" t="n">
        <v>3</v>
      </c>
      <c r="E270" s="7" t="inlineStr">
        <is>
          <t>Emergent (EA)</t>
        </is>
      </c>
      <c r="F270" s="8" t="n">
        <v>129</v>
      </c>
      <c r="G270" s="9" t="n">
        <v>1</v>
      </c>
      <c r="H270" s="10" t="n">
        <v>1.11146143917996</v>
      </c>
      <c r="I270" s="11" t="n">
        <v>3</v>
      </c>
      <c r="J270" s="8" t="n">
        <v>31.5</v>
      </c>
      <c r="K270" s="10" t="n">
        <v>0.5889024363045225</v>
      </c>
      <c r="L270" s="10" t="n">
        <v>0.00436046511627907</v>
      </c>
    </row>
    <row r="271">
      <c r="A271" s="7" t="n">
        <v>9</v>
      </c>
      <c r="B271" s="7" t="n">
        <v>30</v>
      </c>
      <c r="C271" s="7" t="n">
        <v>16</v>
      </c>
      <c r="D271" s="7" t="n">
        <v>3</v>
      </c>
      <c r="E271" s="7" t="inlineStr">
        <is>
          <t>Emergent (EA)</t>
        </is>
      </c>
      <c r="F271" s="8" t="n">
        <v>254</v>
      </c>
      <c r="G271" s="9" t="n">
        <v>1</v>
      </c>
      <c r="H271" s="10" t="n">
        <v>1.926596716650695</v>
      </c>
      <c r="I271" s="11" t="n">
        <v>3</v>
      </c>
      <c r="J271" s="8" t="n">
        <v>108.5</v>
      </c>
      <c r="K271" s="10" t="n">
        <v>1.041648394549667</v>
      </c>
      <c r="L271" s="10" t="n">
        <v>0.00812007874015748</v>
      </c>
    </row>
    <row r="272">
      <c r="A272" s="12" t="n">
        <v>10</v>
      </c>
      <c r="B272" s="12" t="n">
        <v>1</v>
      </c>
      <c r="C272" s="12" t="n">
        <v>8</v>
      </c>
      <c r="D272" s="12" t="n">
        <v>1</v>
      </c>
      <c r="E272" s="12" t="inlineStr">
        <is>
          <t>Focused (FA)</t>
        </is>
      </c>
      <c r="F272" s="13" t="n">
        <v>139</v>
      </c>
      <c r="G272" s="14" t="n">
        <v>1</v>
      </c>
      <c r="H272" s="15" t="n">
        <v>0.5953673523929245</v>
      </c>
      <c r="I272" s="16" t="n">
        <v>1</v>
      </c>
      <c r="J272" s="13" t="n">
        <v>139</v>
      </c>
      <c r="K272" s="15" t="n">
        <v>0.4969209916665228</v>
      </c>
      <c r="L272" s="15" t="n">
        <v>0</v>
      </c>
    </row>
    <row r="273">
      <c r="A273" s="12" t="n">
        <v>10</v>
      </c>
      <c r="B273" s="12" t="n">
        <v>2</v>
      </c>
      <c r="C273" s="12" t="n">
        <v>8</v>
      </c>
      <c r="D273" s="12" t="n">
        <v>1</v>
      </c>
      <c r="E273" s="12" t="inlineStr">
        <is>
          <t>Focused (FA)</t>
        </is>
      </c>
      <c r="F273" s="13" t="n">
        <v>103</v>
      </c>
      <c r="G273" s="14" t="n">
        <v>1</v>
      </c>
      <c r="H273" s="15" t="n">
        <v>0.5157949471826883</v>
      </c>
      <c r="I273" s="16" t="n">
        <v>1</v>
      </c>
      <c r="J273" s="13" t="n">
        <v>103</v>
      </c>
      <c r="K273" s="15" t="n">
        <v>0.4094030448783919</v>
      </c>
      <c r="L273" s="15" t="n">
        <v>0</v>
      </c>
    </row>
    <row r="274">
      <c r="A274" s="12" t="n">
        <v>10</v>
      </c>
      <c r="B274" s="12" t="n">
        <v>3</v>
      </c>
      <c r="C274" s="12" t="n">
        <v>8</v>
      </c>
      <c r="D274" s="12" t="n">
        <v>1</v>
      </c>
      <c r="E274" s="12" t="inlineStr">
        <is>
          <t>Focused (FA)</t>
        </is>
      </c>
      <c r="F274" s="13" t="n">
        <v>37</v>
      </c>
      <c r="G274" s="14" t="n">
        <v>1</v>
      </c>
      <c r="H274" s="15" t="n">
        <v>0.6190523322430925</v>
      </c>
      <c r="I274" s="16" t="n">
        <v>1</v>
      </c>
      <c r="J274" s="13" t="n">
        <v>37</v>
      </c>
      <c r="K274" s="15" t="n">
        <v>0.4386376438731701</v>
      </c>
      <c r="L274" s="15" t="n">
        <v>0</v>
      </c>
    </row>
    <row r="275">
      <c r="A275" s="12" t="n">
        <v>10</v>
      </c>
      <c r="B275" s="12" t="n">
        <v>4</v>
      </c>
      <c r="C275" s="12" t="n">
        <v>8</v>
      </c>
      <c r="D275" s="12" t="n">
        <v>1</v>
      </c>
      <c r="E275" s="12" t="inlineStr">
        <is>
          <t>Focused (FA)</t>
        </is>
      </c>
      <c r="F275" s="13" t="n">
        <v>114</v>
      </c>
      <c r="G275" s="14" t="n">
        <v>1</v>
      </c>
      <c r="H275" s="15" t="n">
        <v>0.4941338999610954</v>
      </c>
      <c r="I275" s="16" t="n">
        <v>1</v>
      </c>
      <c r="J275" s="13" t="n">
        <v>114</v>
      </c>
      <c r="K275" s="15" t="n">
        <v>0.4141679094992009</v>
      </c>
      <c r="L275" s="15" t="n">
        <v>0</v>
      </c>
    </row>
    <row r="276">
      <c r="A276" s="12" t="n">
        <v>10</v>
      </c>
      <c r="B276" s="12" t="n">
        <v>5</v>
      </c>
      <c r="C276" s="12" t="n">
        <v>8</v>
      </c>
      <c r="D276" s="12" t="n">
        <v>1</v>
      </c>
      <c r="E276" s="12" t="inlineStr">
        <is>
          <t>Focused (FA)</t>
        </is>
      </c>
      <c r="F276" s="13" t="n">
        <v>59</v>
      </c>
      <c r="G276" s="14" t="n">
        <v>1</v>
      </c>
      <c r="H276" s="15" t="n">
        <v>0.6541375843932893</v>
      </c>
      <c r="I276" s="16" t="n">
        <v>1</v>
      </c>
      <c r="J276" s="13" t="n">
        <v>59</v>
      </c>
      <c r="K276" s="15" t="n">
        <v>0.4327264767404164</v>
      </c>
      <c r="L276" s="15" t="n">
        <v>0</v>
      </c>
    </row>
    <row r="277">
      <c r="A277" s="12" t="n">
        <v>10</v>
      </c>
      <c r="B277" s="12" t="n">
        <v>6</v>
      </c>
      <c r="C277" s="12" t="n">
        <v>8</v>
      </c>
      <c r="D277" s="12" t="n">
        <v>1</v>
      </c>
      <c r="E277" s="12" t="inlineStr">
        <is>
          <t>Focused (FA)</t>
        </is>
      </c>
      <c r="F277" s="13" t="n">
        <v>85</v>
      </c>
      <c r="G277" s="14" t="n">
        <v>1</v>
      </c>
      <c r="H277" s="15" t="n">
        <v>0.6174787902403879</v>
      </c>
      <c r="I277" s="16" t="n">
        <v>1</v>
      </c>
      <c r="J277" s="13" t="n">
        <v>85</v>
      </c>
      <c r="K277" s="15" t="n">
        <v>0.45039883330634</v>
      </c>
      <c r="L277" s="15" t="n">
        <v>0</v>
      </c>
    </row>
    <row r="278">
      <c r="A278" s="12" t="n">
        <v>10</v>
      </c>
      <c r="B278" s="12" t="n">
        <v>7</v>
      </c>
      <c r="C278" s="12" t="n">
        <v>8</v>
      </c>
      <c r="D278" s="12" t="n">
        <v>1</v>
      </c>
      <c r="E278" s="12" t="inlineStr">
        <is>
          <t>Focused (FA)</t>
        </is>
      </c>
      <c r="F278" s="13" t="n">
        <v>148</v>
      </c>
      <c r="G278" s="14" t="n">
        <v>1</v>
      </c>
      <c r="H278" s="15" t="n">
        <v>0.543320064780066</v>
      </c>
      <c r="I278" s="16" t="n">
        <v>1</v>
      </c>
      <c r="J278" s="13" t="n">
        <v>148</v>
      </c>
      <c r="K278" s="15" t="n">
        <v>0.4102931318903483</v>
      </c>
      <c r="L278" s="15" t="n">
        <v>0</v>
      </c>
    </row>
    <row r="279">
      <c r="A279" s="12" t="n">
        <v>10</v>
      </c>
      <c r="B279" s="12" t="n">
        <v>8</v>
      </c>
      <c r="C279" s="12" t="n">
        <v>8</v>
      </c>
      <c r="D279" s="12" t="n">
        <v>1</v>
      </c>
      <c r="E279" s="12" t="inlineStr">
        <is>
          <t>Focused (FA)</t>
        </is>
      </c>
      <c r="F279" s="13" t="n">
        <v>77</v>
      </c>
      <c r="G279" s="14" t="n">
        <v>1</v>
      </c>
      <c r="H279" s="15" t="n">
        <v>0.5082414650479178</v>
      </c>
      <c r="I279" s="16" t="n">
        <v>1</v>
      </c>
      <c r="J279" s="13" t="n">
        <v>77</v>
      </c>
      <c r="K279" s="15" t="n">
        <v>0.4793092602469067</v>
      </c>
      <c r="L279" s="15" t="n">
        <v>0</v>
      </c>
    </row>
    <row r="280">
      <c r="A280" s="12" t="n">
        <v>10</v>
      </c>
      <c r="B280" s="12" t="n">
        <v>9</v>
      </c>
      <c r="C280" s="12" t="n">
        <v>8</v>
      </c>
      <c r="D280" s="12" t="n">
        <v>1</v>
      </c>
      <c r="E280" s="12" t="inlineStr">
        <is>
          <t>Focused (FA)</t>
        </is>
      </c>
      <c r="F280" s="13" t="n">
        <v>167</v>
      </c>
      <c r="G280" s="14" t="n">
        <v>1</v>
      </c>
      <c r="H280" s="15" t="n">
        <v>1.252966159265373</v>
      </c>
      <c r="I280" s="16" t="n">
        <v>1</v>
      </c>
      <c r="J280" s="13" t="n">
        <v>167</v>
      </c>
      <c r="K280" s="15" t="n">
        <v>0.3901975684129407</v>
      </c>
      <c r="L280" s="15" t="n">
        <v>0</v>
      </c>
    </row>
    <row r="281">
      <c r="A281" s="12" t="n">
        <v>10</v>
      </c>
      <c r="B281" s="12" t="n">
        <v>10</v>
      </c>
      <c r="C281" s="12" t="n">
        <v>8</v>
      </c>
      <c r="D281" s="12" t="n">
        <v>1</v>
      </c>
      <c r="E281" s="12" t="inlineStr">
        <is>
          <t>Focused (FA)</t>
        </is>
      </c>
      <c r="F281" s="13" t="n">
        <v>248</v>
      </c>
      <c r="G281" s="14" t="n">
        <v>1</v>
      </c>
      <c r="H281" s="15" t="n">
        <v>0.5252574222976447</v>
      </c>
      <c r="I281" s="16" t="n">
        <v>1</v>
      </c>
      <c r="J281" s="13" t="n">
        <v>248</v>
      </c>
      <c r="K281" s="15" t="n">
        <v>0.4244289559140897</v>
      </c>
      <c r="L281" s="15" t="n">
        <v>0</v>
      </c>
    </row>
    <row r="282">
      <c r="A282" s="12" t="n">
        <v>10</v>
      </c>
      <c r="B282" s="12" t="n">
        <v>11</v>
      </c>
      <c r="C282" s="12" t="n">
        <v>8</v>
      </c>
      <c r="D282" s="12" t="n">
        <v>1</v>
      </c>
      <c r="E282" s="12" t="inlineStr">
        <is>
          <t>Focused (FA)</t>
        </is>
      </c>
      <c r="F282" s="13" t="n">
        <v>154</v>
      </c>
      <c r="G282" s="14" t="n">
        <v>1</v>
      </c>
      <c r="H282" s="15" t="n">
        <v>1.424223431272292</v>
      </c>
      <c r="I282" s="16" t="n">
        <v>1</v>
      </c>
      <c r="J282" s="13" t="n">
        <v>154</v>
      </c>
      <c r="K282" s="15" t="n">
        <v>0.3864084244144289</v>
      </c>
      <c r="L282" s="15" t="n">
        <v>0</v>
      </c>
    </row>
    <row r="283">
      <c r="A283" s="12" t="n">
        <v>10</v>
      </c>
      <c r="B283" s="12" t="n">
        <v>12</v>
      </c>
      <c r="C283" s="12" t="n">
        <v>8</v>
      </c>
      <c r="D283" s="12" t="n">
        <v>1</v>
      </c>
      <c r="E283" s="12" t="inlineStr">
        <is>
          <t>Focused (FA)</t>
        </is>
      </c>
      <c r="F283" s="13" t="n">
        <v>247</v>
      </c>
      <c r="G283" s="14" t="n">
        <v>1</v>
      </c>
      <c r="H283" s="15" t="n">
        <v>0.4880659304372576</v>
      </c>
      <c r="I283" s="16" t="n">
        <v>1</v>
      </c>
      <c r="J283" s="13" t="n">
        <v>247</v>
      </c>
      <c r="K283" s="15" t="n">
        <v>0.4503320905076135</v>
      </c>
      <c r="L283" s="15" t="n">
        <v>0</v>
      </c>
    </row>
    <row r="284">
      <c r="A284" s="12" t="n">
        <v>10</v>
      </c>
      <c r="B284" s="12" t="n">
        <v>13</v>
      </c>
      <c r="C284" s="12" t="n">
        <v>8</v>
      </c>
      <c r="D284" s="12" t="n">
        <v>1</v>
      </c>
      <c r="E284" s="12" t="inlineStr">
        <is>
          <t>Focused (FA)</t>
        </is>
      </c>
      <c r="F284" s="13" t="n">
        <v>242</v>
      </c>
      <c r="G284" s="14" t="n">
        <v>1</v>
      </c>
      <c r="H284" s="15" t="n">
        <v>0.5113702238515558</v>
      </c>
      <c r="I284" s="16" t="n">
        <v>1</v>
      </c>
      <c r="J284" s="13" t="n">
        <v>242</v>
      </c>
      <c r="K284" s="15" t="n">
        <v>0.4330137813093338</v>
      </c>
      <c r="L284" s="15" t="n">
        <v>0</v>
      </c>
    </row>
    <row r="285">
      <c r="A285" s="12" t="n">
        <v>10</v>
      </c>
      <c r="B285" s="12" t="n">
        <v>14</v>
      </c>
      <c r="C285" s="12" t="n">
        <v>8</v>
      </c>
      <c r="D285" s="12" t="n">
        <v>1</v>
      </c>
      <c r="E285" s="12" t="inlineStr">
        <is>
          <t>Focused (FA)</t>
        </is>
      </c>
      <c r="F285" s="13" t="n">
        <v>261</v>
      </c>
      <c r="G285" s="14" t="n">
        <v>1</v>
      </c>
      <c r="H285" s="15" t="n">
        <v>0.4773345263290838</v>
      </c>
      <c r="I285" s="16" t="n">
        <v>1</v>
      </c>
      <c r="J285" s="13" t="n">
        <v>261</v>
      </c>
      <c r="K285" s="15" t="n">
        <v>0.4359033220528209</v>
      </c>
      <c r="L285" s="15" t="n">
        <v>0</v>
      </c>
    </row>
    <row r="286">
      <c r="A286" s="12" t="n">
        <v>10</v>
      </c>
      <c r="B286" s="12" t="n">
        <v>15</v>
      </c>
      <c r="C286" s="12" t="n">
        <v>8</v>
      </c>
      <c r="D286" s="12" t="n">
        <v>1</v>
      </c>
      <c r="E286" s="12" t="inlineStr">
        <is>
          <t>Focused (FA)</t>
        </is>
      </c>
      <c r="F286" s="13" t="n">
        <v>96</v>
      </c>
      <c r="G286" s="14" t="n">
        <v>1</v>
      </c>
      <c r="H286" s="15" t="n">
        <v>0.4828306150846923</v>
      </c>
      <c r="I286" s="16" t="n">
        <v>1</v>
      </c>
      <c r="J286" s="13" t="n">
        <v>96</v>
      </c>
      <c r="K286" s="15" t="n">
        <v>0.4657784585472446</v>
      </c>
      <c r="L286" s="15" t="n">
        <v>0</v>
      </c>
    </row>
    <row r="287">
      <c r="A287" s="12" t="n">
        <v>10</v>
      </c>
      <c r="B287" s="12" t="n">
        <v>16</v>
      </c>
      <c r="C287" s="12" t="n">
        <v>8</v>
      </c>
      <c r="D287" s="12" t="n">
        <v>1</v>
      </c>
      <c r="E287" s="12" t="inlineStr">
        <is>
          <t>Focused (FA)</t>
        </is>
      </c>
      <c r="F287" s="13" t="n">
        <v>121</v>
      </c>
      <c r="G287" s="14" t="n">
        <v>1</v>
      </c>
      <c r="H287" s="15" t="n">
        <v>0.5278322243564899</v>
      </c>
      <c r="I287" s="16" t="n">
        <v>1</v>
      </c>
      <c r="J287" s="13" t="n">
        <v>121</v>
      </c>
      <c r="K287" s="15" t="n">
        <v>0.4736093692773293</v>
      </c>
      <c r="L287" s="15" t="n">
        <v>0</v>
      </c>
    </row>
    <row r="288">
      <c r="A288" s="12" t="n">
        <v>10</v>
      </c>
      <c r="B288" s="12" t="n">
        <v>17</v>
      </c>
      <c r="C288" s="12" t="n">
        <v>8</v>
      </c>
      <c r="D288" s="12" t="n">
        <v>1</v>
      </c>
      <c r="E288" s="12" t="inlineStr">
        <is>
          <t>Focused (FA)</t>
        </is>
      </c>
      <c r="F288" s="13" t="n">
        <v>157</v>
      </c>
      <c r="G288" s="14" t="n">
        <v>1</v>
      </c>
      <c r="H288" s="15" t="n">
        <v>0.5109145343838195</v>
      </c>
      <c r="I288" s="16" t="n">
        <v>1</v>
      </c>
      <c r="J288" s="13" t="n">
        <v>157</v>
      </c>
      <c r="K288" s="15" t="n">
        <v>0.4550025082320218</v>
      </c>
      <c r="L288" s="15" t="n">
        <v>0</v>
      </c>
    </row>
    <row r="289">
      <c r="A289" s="12" t="n">
        <v>10</v>
      </c>
      <c r="B289" s="12" t="n">
        <v>18</v>
      </c>
      <c r="C289" s="12" t="n">
        <v>8</v>
      </c>
      <c r="D289" s="12" t="n">
        <v>1</v>
      </c>
      <c r="E289" s="12" t="inlineStr">
        <is>
          <t>Focused (FA)</t>
        </is>
      </c>
      <c r="F289" s="13" t="n">
        <v>225</v>
      </c>
      <c r="G289" s="14" t="n">
        <v>1</v>
      </c>
      <c r="H289" s="15" t="n">
        <v>0.5196415287945052</v>
      </c>
      <c r="I289" s="16" t="n">
        <v>1</v>
      </c>
      <c r="J289" s="13" t="n">
        <v>225</v>
      </c>
      <c r="K289" s="15" t="n">
        <v>0.4185881094975608</v>
      </c>
      <c r="L289" s="15" t="n">
        <v>0</v>
      </c>
    </row>
    <row r="290">
      <c r="A290" s="12" t="n">
        <v>10</v>
      </c>
      <c r="B290" s="12" t="n">
        <v>19</v>
      </c>
      <c r="C290" s="12" t="n">
        <v>8</v>
      </c>
      <c r="D290" s="12" t="n">
        <v>1</v>
      </c>
      <c r="E290" s="12" t="inlineStr">
        <is>
          <t>Focused (FA)</t>
        </is>
      </c>
      <c r="F290" s="13" t="n">
        <v>76</v>
      </c>
      <c r="G290" s="14" t="n">
        <v>1</v>
      </c>
      <c r="H290" s="15" t="n">
        <v>0.613783696202543</v>
      </c>
      <c r="I290" s="16" t="n">
        <v>1</v>
      </c>
      <c r="J290" s="13" t="n">
        <v>76</v>
      </c>
      <c r="K290" s="15" t="n">
        <v>0.4946750017290841</v>
      </c>
      <c r="L290" s="15" t="n">
        <v>0</v>
      </c>
    </row>
    <row r="291">
      <c r="A291" s="12" t="n">
        <v>10</v>
      </c>
      <c r="B291" s="12" t="n">
        <v>20</v>
      </c>
      <c r="C291" s="12" t="n">
        <v>8</v>
      </c>
      <c r="D291" s="12" t="n">
        <v>1</v>
      </c>
      <c r="E291" s="12" t="inlineStr">
        <is>
          <t>Focused (FA)</t>
        </is>
      </c>
      <c r="F291" s="13" t="n">
        <v>158</v>
      </c>
      <c r="G291" s="14" t="n">
        <v>1</v>
      </c>
      <c r="H291" s="15" t="n">
        <v>0.4525481411184373</v>
      </c>
      <c r="I291" s="16" t="n">
        <v>1</v>
      </c>
      <c r="J291" s="13" t="n">
        <v>158</v>
      </c>
      <c r="K291" s="15" t="n">
        <v>0.3642337546124451</v>
      </c>
      <c r="L291" s="15" t="n">
        <v>0</v>
      </c>
    </row>
    <row r="292">
      <c r="A292" s="12" t="n">
        <v>10</v>
      </c>
      <c r="B292" s="12" t="n">
        <v>21</v>
      </c>
      <c r="C292" s="12" t="n">
        <v>8</v>
      </c>
      <c r="D292" s="12" t="n">
        <v>1</v>
      </c>
      <c r="E292" s="12" t="inlineStr">
        <is>
          <t>Focused (FA)</t>
        </is>
      </c>
      <c r="F292" s="13" t="n">
        <v>42</v>
      </c>
      <c r="G292" s="14" t="n">
        <v>1</v>
      </c>
      <c r="H292" s="15" t="n">
        <v>0.5315853857345779</v>
      </c>
      <c r="I292" s="16" t="n">
        <v>1</v>
      </c>
      <c r="J292" s="13" t="n">
        <v>42</v>
      </c>
      <c r="K292" s="15" t="n">
        <v>0.4238016807885132</v>
      </c>
      <c r="L292" s="15" t="n">
        <v>0</v>
      </c>
    </row>
    <row r="293">
      <c r="A293" s="12" t="n">
        <v>10</v>
      </c>
      <c r="B293" s="12" t="n">
        <v>22</v>
      </c>
      <c r="C293" s="12" t="n">
        <v>8</v>
      </c>
      <c r="D293" s="12" t="n">
        <v>1</v>
      </c>
      <c r="E293" s="12" t="inlineStr">
        <is>
          <t>Focused (FA)</t>
        </is>
      </c>
      <c r="F293" s="13" t="n">
        <v>64</v>
      </c>
      <c r="G293" s="14" t="n">
        <v>1</v>
      </c>
      <c r="H293" s="15" t="n">
        <v>0.6919866906168168</v>
      </c>
      <c r="I293" s="16" t="n">
        <v>1</v>
      </c>
      <c r="J293" s="13" t="n">
        <v>64</v>
      </c>
      <c r="K293" s="15" t="n">
        <v>0.4583523411997908</v>
      </c>
      <c r="L293" s="15" t="n">
        <v>0</v>
      </c>
    </row>
    <row r="294">
      <c r="A294" s="12" t="n">
        <v>10</v>
      </c>
      <c r="B294" s="12" t="n">
        <v>23</v>
      </c>
      <c r="C294" s="12" t="n">
        <v>8</v>
      </c>
      <c r="D294" s="12" t="n">
        <v>1</v>
      </c>
      <c r="E294" s="12" t="inlineStr">
        <is>
          <t>Focused (FA)</t>
        </is>
      </c>
      <c r="F294" s="13" t="n">
        <v>150</v>
      </c>
      <c r="G294" s="14" t="n">
        <v>1</v>
      </c>
      <c r="H294" s="15" t="n">
        <v>0.5318305511757407</v>
      </c>
      <c r="I294" s="16" t="n">
        <v>1</v>
      </c>
      <c r="J294" s="13" t="n">
        <v>150</v>
      </c>
      <c r="K294" s="15" t="n">
        <v>0.3795423525152741</v>
      </c>
      <c r="L294" s="15" t="n">
        <v>0</v>
      </c>
    </row>
    <row r="295">
      <c r="A295" s="12" t="n">
        <v>10</v>
      </c>
      <c r="B295" s="12" t="n">
        <v>24</v>
      </c>
      <c r="C295" s="12" t="n">
        <v>8</v>
      </c>
      <c r="D295" s="12" t="n">
        <v>1</v>
      </c>
      <c r="E295" s="12" t="inlineStr">
        <is>
          <t>Focused (FA)</t>
        </is>
      </c>
      <c r="F295" s="13" t="n">
        <v>248</v>
      </c>
      <c r="G295" s="14" t="n">
        <v>1</v>
      </c>
      <c r="H295" s="15" t="n">
        <v>0.4996654708746263</v>
      </c>
      <c r="I295" s="16" t="n">
        <v>1</v>
      </c>
      <c r="J295" s="13" t="n">
        <v>248</v>
      </c>
      <c r="K295" s="15" t="n">
        <v>0.501172881014906</v>
      </c>
      <c r="L295" s="15" t="n">
        <v>0</v>
      </c>
    </row>
    <row r="296">
      <c r="A296" s="12" t="n">
        <v>10</v>
      </c>
      <c r="B296" s="12" t="n">
        <v>25</v>
      </c>
      <c r="C296" s="12" t="n">
        <v>8</v>
      </c>
      <c r="D296" s="12" t="n">
        <v>1</v>
      </c>
      <c r="E296" s="12" t="inlineStr">
        <is>
          <t>Focused (FA)</t>
        </is>
      </c>
      <c r="F296" s="13" t="n">
        <v>141</v>
      </c>
      <c r="G296" s="14" t="n">
        <v>1</v>
      </c>
      <c r="H296" s="15" t="n">
        <v>0.548533479930106</v>
      </c>
      <c r="I296" s="16" t="n">
        <v>1</v>
      </c>
      <c r="J296" s="13" t="n">
        <v>141</v>
      </c>
      <c r="K296" s="15" t="n">
        <v>0.3823054956921685</v>
      </c>
      <c r="L296" s="15" t="n">
        <v>0</v>
      </c>
    </row>
    <row r="297">
      <c r="A297" s="12" t="n">
        <v>10</v>
      </c>
      <c r="B297" s="12" t="n">
        <v>26</v>
      </c>
      <c r="C297" s="12" t="n">
        <v>8</v>
      </c>
      <c r="D297" s="12" t="n">
        <v>1</v>
      </c>
      <c r="E297" s="12" t="inlineStr">
        <is>
          <t>Focused (FA)</t>
        </is>
      </c>
      <c r="F297" s="13" t="n">
        <v>104</v>
      </c>
      <c r="G297" s="14" t="n">
        <v>1</v>
      </c>
      <c r="H297" s="15" t="n">
        <v>0.496448319680472</v>
      </c>
      <c r="I297" s="16" t="n">
        <v>1</v>
      </c>
      <c r="J297" s="13" t="n">
        <v>104</v>
      </c>
      <c r="K297" s="15" t="n">
        <v>0.4282754340961711</v>
      </c>
      <c r="L297" s="15" t="n">
        <v>0</v>
      </c>
    </row>
    <row r="298">
      <c r="A298" s="12" t="n">
        <v>10</v>
      </c>
      <c r="B298" s="12" t="n">
        <v>27</v>
      </c>
      <c r="C298" s="12" t="n">
        <v>8</v>
      </c>
      <c r="D298" s="12" t="n">
        <v>1</v>
      </c>
      <c r="E298" s="12" t="inlineStr">
        <is>
          <t>Focused (FA)</t>
        </is>
      </c>
      <c r="F298" s="13" t="n">
        <v>114</v>
      </c>
      <c r="G298" s="14" t="n">
        <v>1</v>
      </c>
      <c r="H298" s="15" t="n">
        <v>0.5305231309449996</v>
      </c>
      <c r="I298" s="16" t="n">
        <v>1</v>
      </c>
      <c r="J298" s="13" t="n">
        <v>114</v>
      </c>
      <c r="K298" s="15" t="n">
        <v>0.4317259921950153</v>
      </c>
      <c r="L298" s="15" t="n">
        <v>0</v>
      </c>
    </row>
    <row r="299">
      <c r="A299" s="12" t="n">
        <v>10</v>
      </c>
      <c r="B299" s="12" t="n">
        <v>28</v>
      </c>
      <c r="C299" s="12" t="n">
        <v>8</v>
      </c>
      <c r="D299" s="12" t="n">
        <v>1</v>
      </c>
      <c r="E299" s="12" t="inlineStr">
        <is>
          <t>Focused (FA)</t>
        </is>
      </c>
      <c r="F299" s="13" t="n">
        <v>71</v>
      </c>
      <c r="G299" s="14" t="n">
        <v>1</v>
      </c>
      <c r="H299" s="15" t="n">
        <v>0.4944657020440155</v>
      </c>
      <c r="I299" s="16" t="n">
        <v>1</v>
      </c>
      <c r="J299" s="13" t="n">
        <v>71</v>
      </c>
      <c r="K299" s="15" t="n">
        <v>0.3853868861169837</v>
      </c>
      <c r="L299" s="15" t="n">
        <v>0</v>
      </c>
    </row>
    <row r="300">
      <c r="A300" s="12" t="n">
        <v>10</v>
      </c>
      <c r="B300" s="12" t="n">
        <v>29</v>
      </c>
      <c r="C300" s="12" t="n">
        <v>8</v>
      </c>
      <c r="D300" s="12" t="n">
        <v>1</v>
      </c>
      <c r="E300" s="12" t="inlineStr">
        <is>
          <t>Focused (FA)</t>
        </is>
      </c>
      <c r="F300" s="13" t="n">
        <v>69</v>
      </c>
      <c r="G300" s="14" t="n">
        <v>1</v>
      </c>
      <c r="H300" s="15" t="n">
        <v>0.4940888992077316</v>
      </c>
      <c r="I300" s="16" t="n">
        <v>1</v>
      </c>
      <c r="J300" s="13" t="n">
        <v>69</v>
      </c>
      <c r="K300" s="15" t="n">
        <v>0.5007544184978565</v>
      </c>
      <c r="L300" s="15" t="n">
        <v>0</v>
      </c>
    </row>
    <row r="301">
      <c r="A301" s="12" t="n">
        <v>10</v>
      </c>
      <c r="B301" s="12" t="n">
        <v>30</v>
      </c>
      <c r="C301" s="12" t="n">
        <v>8</v>
      </c>
      <c r="D301" s="12" t="n">
        <v>1</v>
      </c>
      <c r="E301" s="12" t="inlineStr">
        <is>
          <t>Focused (FA)</t>
        </is>
      </c>
      <c r="F301" s="13" t="n">
        <v>62</v>
      </c>
      <c r="G301" s="14" t="n">
        <v>1</v>
      </c>
      <c r="H301" s="15" t="n">
        <v>0.5487455452153271</v>
      </c>
      <c r="I301" s="16" t="n">
        <v>1</v>
      </c>
      <c r="J301" s="13" t="n">
        <v>62</v>
      </c>
      <c r="K301" s="15" t="n">
        <v>0.4580837341269536</v>
      </c>
      <c r="L301" s="15" t="n">
        <v>0</v>
      </c>
    </row>
    <row r="302">
      <c r="A302" s="12" t="n">
        <v>11</v>
      </c>
      <c r="B302" s="12" t="n">
        <v>1</v>
      </c>
      <c r="C302" s="12" t="n">
        <v>8</v>
      </c>
      <c r="D302" s="12" t="n">
        <v>2</v>
      </c>
      <c r="E302" s="12" t="inlineStr">
        <is>
          <t>Focused (FA)</t>
        </is>
      </c>
      <c r="F302" s="13" t="n">
        <v>280</v>
      </c>
      <c r="G302" s="14" t="n">
        <v>1</v>
      </c>
      <c r="H302" s="15" t="n">
        <v>0.7766242912419291</v>
      </c>
      <c r="I302" s="16" t="n">
        <v>2</v>
      </c>
      <c r="J302" s="13" t="n">
        <v>69</v>
      </c>
      <c r="K302" s="15" t="n">
        <v>0.4706748031249743</v>
      </c>
      <c r="L302" s="15" t="n">
        <v>0</v>
      </c>
    </row>
    <row r="303">
      <c r="A303" s="12" t="n">
        <v>11</v>
      </c>
      <c r="B303" s="12" t="n">
        <v>2</v>
      </c>
      <c r="C303" s="12" t="n">
        <v>8</v>
      </c>
      <c r="D303" s="12" t="n">
        <v>2</v>
      </c>
      <c r="E303" s="12" t="inlineStr">
        <is>
          <t>Focused (FA)</t>
        </is>
      </c>
      <c r="F303" s="13" t="n">
        <v>158</v>
      </c>
      <c r="G303" s="14" t="n">
        <v>1</v>
      </c>
      <c r="H303" s="15" t="n">
        <v>0.4811773485098838</v>
      </c>
      <c r="I303" s="16" t="n">
        <v>2</v>
      </c>
      <c r="J303" s="13" t="n">
        <v>118</v>
      </c>
      <c r="K303" s="15" t="n">
        <v>0.4152148011845115</v>
      </c>
      <c r="L303" s="15" t="n">
        <v>0</v>
      </c>
    </row>
    <row r="304">
      <c r="A304" s="12" t="n">
        <v>11</v>
      </c>
      <c r="B304" s="12" t="n">
        <v>3</v>
      </c>
      <c r="C304" s="12" t="n">
        <v>8</v>
      </c>
      <c r="D304" s="12" t="n">
        <v>2</v>
      </c>
      <c r="E304" s="12" t="inlineStr">
        <is>
          <t>Focused (FA)</t>
        </is>
      </c>
      <c r="F304" s="13" t="n">
        <v>89</v>
      </c>
      <c r="G304" s="14" t="n">
        <v>1</v>
      </c>
      <c r="H304" s="15" t="n">
        <v>0.570991874425323</v>
      </c>
      <c r="I304" s="16" t="n">
        <v>2</v>
      </c>
      <c r="J304" s="13" t="n">
        <v>54</v>
      </c>
      <c r="K304" s="15" t="n">
        <v>0.444398344890834</v>
      </c>
      <c r="L304" s="15" t="n">
        <v>0</v>
      </c>
    </row>
    <row r="305">
      <c r="A305" s="12" t="n">
        <v>11</v>
      </c>
      <c r="B305" s="12" t="n">
        <v>4</v>
      </c>
      <c r="C305" s="12" t="n">
        <v>8</v>
      </c>
      <c r="D305" s="12" t="n">
        <v>2</v>
      </c>
      <c r="E305" s="12" t="inlineStr">
        <is>
          <t>Focused (FA)</t>
        </is>
      </c>
      <c r="F305" s="13" t="n">
        <v>257</v>
      </c>
      <c r="G305" s="14" t="n">
        <v>1</v>
      </c>
      <c r="H305" s="15" t="n">
        <v>0.493537168003618</v>
      </c>
      <c r="I305" s="16" t="n">
        <v>2</v>
      </c>
      <c r="J305" s="13" t="n">
        <v>139</v>
      </c>
      <c r="K305" s="15" t="n">
        <v>0.5731373211576405</v>
      </c>
      <c r="L305" s="15" t="n">
        <v>0</v>
      </c>
    </row>
    <row r="306">
      <c r="A306" s="12" t="n">
        <v>11</v>
      </c>
      <c r="B306" s="12" t="n">
        <v>5</v>
      </c>
      <c r="C306" s="12" t="n">
        <v>8</v>
      </c>
      <c r="D306" s="12" t="n">
        <v>2</v>
      </c>
      <c r="E306" s="12" t="inlineStr">
        <is>
          <t>Focused (FA)</t>
        </is>
      </c>
      <c r="F306" s="13" t="n">
        <v>319</v>
      </c>
      <c r="G306" s="14" t="n">
        <v>1</v>
      </c>
      <c r="H306" s="15" t="n">
        <v>0.5211147330369899</v>
      </c>
      <c r="I306" s="16" t="n">
        <v>2</v>
      </c>
      <c r="J306" s="13" t="n">
        <v>153</v>
      </c>
      <c r="K306" s="15" t="n">
        <v>0.4507174967784244</v>
      </c>
      <c r="L306" s="15" t="n">
        <v>0</v>
      </c>
    </row>
    <row r="307">
      <c r="A307" s="12" t="n">
        <v>11</v>
      </c>
      <c r="B307" s="12" t="n">
        <v>6</v>
      </c>
      <c r="C307" s="12" t="n">
        <v>8</v>
      </c>
      <c r="D307" s="12" t="n">
        <v>2</v>
      </c>
      <c r="E307" s="12" t="inlineStr">
        <is>
          <t>Focused (FA)</t>
        </is>
      </c>
      <c r="F307" s="13" t="n">
        <v>108</v>
      </c>
      <c r="G307" s="14" t="n">
        <v>1</v>
      </c>
      <c r="H307" s="15" t="n">
        <v>0.5120104401512443</v>
      </c>
      <c r="I307" s="16" t="n">
        <v>2</v>
      </c>
      <c r="J307" s="13" t="n">
        <v>78</v>
      </c>
      <c r="K307" s="15" t="n">
        <v>0.4656780935285225</v>
      </c>
      <c r="L307" s="15" t="n">
        <v>0</v>
      </c>
    </row>
    <row r="308">
      <c r="A308" s="12" t="n">
        <v>11</v>
      </c>
      <c r="B308" s="12" t="n">
        <v>7</v>
      </c>
      <c r="C308" s="12" t="n">
        <v>8</v>
      </c>
      <c r="D308" s="12" t="n">
        <v>2</v>
      </c>
      <c r="E308" s="12" t="inlineStr">
        <is>
          <t>Focused (FA)</t>
        </is>
      </c>
      <c r="F308" s="13" t="n">
        <v>172</v>
      </c>
      <c r="G308" s="14" t="n">
        <v>1</v>
      </c>
      <c r="H308" s="15" t="n">
        <v>0.5080797571412501</v>
      </c>
      <c r="I308" s="16" t="n">
        <v>2</v>
      </c>
      <c r="J308" s="13" t="n">
        <v>76</v>
      </c>
      <c r="K308" s="15" t="n">
        <v>0.4023000224296283</v>
      </c>
      <c r="L308" s="15" t="n">
        <v>0</v>
      </c>
    </row>
    <row r="309">
      <c r="A309" s="12" t="n">
        <v>11</v>
      </c>
      <c r="B309" s="12" t="n">
        <v>8</v>
      </c>
      <c r="C309" s="12" t="n">
        <v>8</v>
      </c>
      <c r="D309" s="12" t="n">
        <v>2</v>
      </c>
      <c r="E309" s="12" t="inlineStr">
        <is>
          <t>Focused (FA)</t>
        </is>
      </c>
      <c r="F309" s="13" t="n">
        <v>131</v>
      </c>
      <c r="G309" s="14" t="n">
        <v>1</v>
      </c>
      <c r="H309" s="15" t="n">
        <v>0.5038413639341035</v>
      </c>
      <c r="I309" s="16" t="n">
        <v>2</v>
      </c>
      <c r="J309" s="13" t="n">
        <v>95</v>
      </c>
      <c r="K309" s="15" t="n">
        <v>0.4592932153850648</v>
      </c>
      <c r="L309" s="15" t="n">
        <v>0</v>
      </c>
    </row>
    <row r="310">
      <c r="A310" s="12" t="n">
        <v>11</v>
      </c>
      <c r="B310" s="12" t="n">
        <v>9</v>
      </c>
      <c r="C310" s="12" t="n">
        <v>8</v>
      </c>
      <c r="D310" s="12" t="n">
        <v>2</v>
      </c>
      <c r="E310" s="12" t="inlineStr">
        <is>
          <t>Focused (FA)</t>
        </is>
      </c>
      <c r="F310" s="13" t="n">
        <v>323</v>
      </c>
      <c r="G310" s="14" t="n">
        <v>1</v>
      </c>
      <c r="H310" s="15" t="n">
        <v>1.314373324506178</v>
      </c>
      <c r="I310" s="16" t="n">
        <v>2</v>
      </c>
      <c r="J310" s="13" t="n">
        <v>154</v>
      </c>
      <c r="K310" s="15" t="n">
        <v>0.4872240687639647</v>
      </c>
      <c r="L310" s="15" t="n">
        <v>0</v>
      </c>
    </row>
    <row r="311">
      <c r="A311" s="12" t="n">
        <v>11</v>
      </c>
      <c r="B311" s="12" t="n">
        <v>10</v>
      </c>
      <c r="C311" s="12" t="n">
        <v>8</v>
      </c>
      <c r="D311" s="12" t="n">
        <v>2</v>
      </c>
      <c r="E311" s="12" t="inlineStr">
        <is>
          <t>Focused (FA)</t>
        </is>
      </c>
      <c r="F311" s="13" t="n">
        <v>147</v>
      </c>
      <c r="G311" s="14" t="n">
        <v>1</v>
      </c>
      <c r="H311" s="15" t="n">
        <v>0.5271021564606081</v>
      </c>
      <c r="I311" s="16" t="n">
        <v>2</v>
      </c>
      <c r="J311" s="13" t="n">
        <v>36</v>
      </c>
      <c r="K311" s="15" t="n">
        <v>0.4256172704252321</v>
      </c>
      <c r="L311" s="15" t="n">
        <v>0</v>
      </c>
    </row>
    <row r="312">
      <c r="A312" s="12" t="n">
        <v>11</v>
      </c>
      <c r="B312" s="12" t="n">
        <v>11</v>
      </c>
      <c r="C312" s="12" t="n">
        <v>8</v>
      </c>
      <c r="D312" s="12" t="n">
        <v>2</v>
      </c>
      <c r="E312" s="12" t="inlineStr">
        <is>
          <t>Focused (FA)</t>
        </is>
      </c>
      <c r="F312" s="13" t="n">
        <v>289</v>
      </c>
      <c r="G312" s="14" t="n">
        <v>1</v>
      </c>
      <c r="H312" s="15" t="n">
        <v>1.714898717420911</v>
      </c>
      <c r="I312" s="16" t="n">
        <v>2</v>
      </c>
      <c r="J312" s="13" t="n">
        <v>29</v>
      </c>
      <c r="K312" s="15" t="n">
        <v>0.4948051713823966</v>
      </c>
      <c r="L312" s="15" t="n">
        <v>0</v>
      </c>
    </row>
    <row r="313">
      <c r="A313" s="12" t="n">
        <v>11</v>
      </c>
      <c r="B313" s="12" t="n">
        <v>12</v>
      </c>
      <c r="C313" s="12" t="n">
        <v>8</v>
      </c>
      <c r="D313" s="12" t="n">
        <v>2</v>
      </c>
      <c r="E313" s="12" t="inlineStr">
        <is>
          <t>Focused (FA)</t>
        </is>
      </c>
      <c r="F313" s="13" t="n">
        <v>210</v>
      </c>
      <c r="G313" s="14" t="n">
        <v>1</v>
      </c>
      <c r="H313" s="15" t="n">
        <v>0.5027587891274347</v>
      </c>
      <c r="I313" s="16" t="n">
        <v>2</v>
      </c>
      <c r="J313" s="13" t="n">
        <v>35</v>
      </c>
      <c r="K313" s="15" t="n">
        <v>0.4323476672019829</v>
      </c>
      <c r="L313" s="15" t="n">
        <v>0</v>
      </c>
    </row>
    <row r="314">
      <c r="A314" s="12" t="n">
        <v>11</v>
      </c>
      <c r="B314" s="12" t="n">
        <v>13</v>
      </c>
      <c r="C314" s="12" t="n">
        <v>8</v>
      </c>
      <c r="D314" s="12" t="n">
        <v>2</v>
      </c>
      <c r="E314" s="12" t="inlineStr">
        <is>
          <t>Focused (FA)</t>
        </is>
      </c>
      <c r="F314" s="13" t="n">
        <v>284</v>
      </c>
      <c r="G314" s="14" t="n">
        <v>1</v>
      </c>
      <c r="H314" s="15" t="n">
        <v>0.5359924939394998</v>
      </c>
      <c r="I314" s="16" t="n">
        <v>2</v>
      </c>
      <c r="J314" s="13" t="n">
        <v>127</v>
      </c>
      <c r="K314" s="15" t="n">
        <v>0.4087738981761081</v>
      </c>
      <c r="L314" s="15" t="n">
        <v>0</v>
      </c>
    </row>
    <row r="315">
      <c r="A315" s="12" t="n">
        <v>11</v>
      </c>
      <c r="B315" s="12" t="n">
        <v>14</v>
      </c>
      <c r="C315" s="12" t="n">
        <v>8</v>
      </c>
      <c r="D315" s="12" t="n">
        <v>2</v>
      </c>
      <c r="E315" s="12" t="inlineStr">
        <is>
          <t>Focused (FA)</t>
        </is>
      </c>
      <c r="F315" s="13" t="n">
        <v>238</v>
      </c>
      <c r="G315" s="14" t="n">
        <v>1</v>
      </c>
      <c r="H315" s="15" t="n">
        <v>0.4965090630298514</v>
      </c>
      <c r="I315" s="16" t="n">
        <v>2</v>
      </c>
      <c r="J315" s="13" t="n">
        <v>80</v>
      </c>
      <c r="K315" s="15" t="n">
        <v>0.4300762979913556</v>
      </c>
      <c r="L315" s="15" t="n">
        <v>0</v>
      </c>
    </row>
    <row r="316">
      <c r="A316" s="12" t="n">
        <v>11</v>
      </c>
      <c r="B316" s="12" t="n">
        <v>15</v>
      </c>
      <c r="C316" s="12" t="n">
        <v>8</v>
      </c>
      <c r="D316" s="12" t="n">
        <v>2</v>
      </c>
      <c r="E316" s="12" t="inlineStr">
        <is>
          <t>Focused (FA)</t>
        </is>
      </c>
      <c r="F316" s="13" t="n">
        <v>141</v>
      </c>
      <c r="G316" s="14" t="n">
        <v>1</v>
      </c>
      <c r="H316" s="15" t="n">
        <v>0.5200521844623212</v>
      </c>
      <c r="I316" s="16" t="n">
        <v>2</v>
      </c>
      <c r="J316" s="13" t="n">
        <v>107</v>
      </c>
      <c r="K316" s="15" t="n">
        <v>0.4422882591080859</v>
      </c>
      <c r="L316" s="15" t="n">
        <v>0</v>
      </c>
    </row>
    <row r="317">
      <c r="A317" s="12" t="n">
        <v>11</v>
      </c>
      <c r="B317" s="12" t="n">
        <v>16</v>
      </c>
      <c r="C317" s="12" t="n">
        <v>8</v>
      </c>
      <c r="D317" s="12" t="n">
        <v>2</v>
      </c>
      <c r="E317" s="12" t="inlineStr">
        <is>
          <t>Focused (FA)</t>
        </is>
      </c>
      <c r="F317" s="13" t="n">
        <v>97</v>
      </c>
      <c r="G317" s="14" t="n">
        <v>1</v>
      </c>
      <c r="H317" s="15" t="n">
        <v>0.4812605724096495</v>
      </c>
      <c r="I317" s="16" t="n">
        <v>2</v>
      </c>
      <c r="J317" s="13" t="n">
        <v>22</v>
      </c>
      <c r="K317" s="15" t="n">
        <v>0.4597575411433331</v>
      </c>
      <c r="L317" s="15" t="n">
        <v>0</v>
      </c>
    </row>
    <row r="318">
      <c r="A318" s="12" t="n">
        <v>11</v>
      </c>
      <c r="B318" s="12" t="n">
        <v>17</v>
      </c>
      <c r="C318" s="12" t="n">
        <v>8</v>
      </c>
      <c r="D318" s="12" t="n">
        <v>2</v>
      </c>
      <c r="E318" s="12" t="inlineStr">
        <is>
          <t>Focused (FA)</t>
        </is>
      </c>
      <c r="F318" s="13" t="n">
        <v>175</v>
      </c>
      <c r="G318" s="14" t="n">
        <v>1</v>
      </c>
      <c r="H318" s="15" t="n">
        <v>0.4921934629751301</v>
      </c>
      <c r="I318" s="16" t="n">
        <v>2</v>
      </c>
      <c r="J318" s="13" t="n">
        <v>88</v>
      </c>
      <c r="K318" s="15" t="n">
        <v>0.3948379227115337</v>
      </c>
      <c r="L318" s="15" t="n">
        <v>0</v>
      </c>
    </row>
    <row r="319">
      <c r="A319" s="12" t="n">
        <v>11</v>
      </c>
      <c r="B319" s="12" t="n">
        <v>18</v>
      </c>
      <c r="C319" s="12" t="n">
        <v>8</v>
      </c>
      <c r="D319" s="12" t="n">
        <v>2</v>
      </c>
      <c r="E319" s="12" t="inlineStr">
        <is>
          <t>Focused (FA)</t>
        </is>
      </c>
      <c r="F319" s="13" t="n">
        <v>282</v>
      </c>
      <c r="G319" s="14" t="n">
        <v>1</v>
      </c>
      <c r="H319" s="15" t="n">
        <v>0.5190394259093117</v>
      </c>
      <c r="I319" s="16" t="n">
        <v>2</v>
      </c>
      <c r="J319" s="13" t="n">
        <v>110</v>
      </c>
      <c r="K319" s="15" t="n">
        <v>0.4459446530293377</v>
      </c>
      <c r="L319" s="15" t="n">
        <v>0</v>
      </c>
    </row>
    <row r="320">
      <c r="A320" s="12" t="n">
        <v>11</v>
      </c>
      <c r="B320" s="12" t="n">
        <v>19</v>
      </c>
      <c r="C320" s="12" t="n">
        <v>8</v>
      </c>
      <c r="D320" s="12" t="n">
        <v>2</v>
      </c>
      <c r="E320" s="12" t="inlineStr">
        <is>
          <t>Focused (FA)</t>
        </is>
      </c>
      <c r="F320" s="13" t="n">
        <v>202</v>
      </c>
      <c r="G320" s="14" t="n">
        <v>1</v>
      </c>
      <c r="H320" s="15" t="n">
        <v>0.5124102627519724</v>
      </c>
      <c r="I320" s="16" t="n">
        <v>2</v>
      </c>
      <c r="J320" s="13" t="n">
        <v>57</v>
      </c>
      <c r="K320" s="15" t="n">
        <v>0.4188658404060936</v>
      </c>
      <c r="L320" s="15" t="n">
        <v>0</v>
      </c>
    </row>
    <row r="321">
      <c r="A321" s="12" t="n">
        <v>11</v>
      </c>
      <c r="B321" s="12" t="n">
        <v>20</v>
      </c>
      <c r="C321" s="12" t="n">
        <v>8</v>
      </c>
      <c r="D321" s="12" t="n">
        <v>2</v>
      </c>
      <c r="E321" s="12" t="inlineStr">
        <is>
          <t>Focused (FA)</t>
        </is>
      </c>
      <c r="F321" s="13" t="n">
        <v>121</v>
      </c>
      <c r="G321" s="14" t="n">
        <v>1</v>
      </c>
      <c r="H321" s="15" t="n">
        <v>0.5224956330476711</v>
      </c>
      <c r="I321" s="16" t="n">
        <v>2</v>
      </c>
      <c r="J321" s="13" t="n">
        <v>48</v>
      </c>
      <c r="K321" s="15" t="n">
        <v>0.4259786699953931</v>
      </c>
      <c r="L321" s="15" t="n">
        <v>0</v>
      </c>
    </row>
    <row r="322">
      <c r="A322" s="12" t="n">
        <v>11</v>
      </c>
      <c r="B322" s="12" t="n">
        <v>21</v>
      </c>
      <c r="C322" s="12" t="n">
        <v>8</v>
      </c>
      <c r="D322" s="12" t="n">
        <v>2</v>
      </c>
      <c r="E322" s="12" t="inlineStr">
        <is>
          <t>Focused (FA)</t>
        </is>
      </c>
      <c r="F322" s="13" t="n">
        <v>58</v>
      </c>
      <c r="G322" s="14" t="n">
        <v>1</v>
      </c>
      <c r="H322" s="15" t="n">
        <v>0.5774037687185272</v>
      </c>
      <c r="I322" s="16" t="n">
        <v>2</v>
      </c>
      <c r="J322" s="13" t="n">
        <v>24</v>
      </c>
      <c r="K322" s="15" t="n">
        <v>0.4715320464231955</v>
      </c>
      <c r="L322" s="15" t="n">
        <v>0</v>
      </c>
    </row>
    <row r="323">
      <c r="A323" s="12" t="n">
        <v>11</v>
      </c>
      <c r="B323" s="12" t="n">
        <v>22</v>
      </c>
      <c r="C323" s="12" t="n">
        <v>8</v>
      </c>
      <c r="D323" s="12" t="n">
        <v>2</v>
      </c>
      <c r="E323" s="12" t="inlineStr">
        <is>
          <t>Focused (FA)</t>
        </is>
      </c>
      <c r="F323" s="13" t="n">
        <v>211</v>
      </c>
      <c r="G323" s="14" t="n">
        <v>1</v>
      </c>
      <c r="H323" s="15" t="n">
        <v>0.5296619204739644</v>
      </c>
      <c r="I323" s="16" t="n">
        <v>2</v>
      </c>
      <c r="J323" s="13" t="n">
        <v>71</v>
      </c>
      <c r="K323" s="15" t="n">
        <v>0.456398194902191</v>
      </c>
      <c r="L323" s="15" t="n">
        <v>0</v>
      </c>
    </row>
    <row r="324">
      <c r="A324" s="12" t="n">
        <v>11</v>
      </c>
      <c r="B324" s="12" t="n">
        <v>23</v>
      </c>
      <c r="C324" s="12" t="n">
        <v>8</v>
      </c>
      <c r="D324" s="12" t="n">
        <v>2</v>
      </c>
      <c r="E324" s="12" t="inlineStr">
        <is>
          <t>Focused (FA)</t>
        </is>
      </c>
      <c r="F324" s="13" t="n">
        <v>196</v>
      </c>
      <c r="G324" s="14" t="n">
        <v>1</v>
      </c>
      <c r="H324" s="15" t="n">
        <v>0.5196525199191866</v>
      </c>
      <c r="I324" s="16" t="n">
        <v>2</v>
      </c>
      <c r="J324" s="13" t="n">
        <v>36</v>
      </c>
      <c r="K324" s="15" t="n">
        <v>0.4203691340640235</v>
      </c>
      <c r="L324" s="15" t="n">
        <v>0</v>
      </c>
    </row>
    <row r="325">
      <c r="A325" s="12" t="n">
        <v>11</v>
      </c>
      <c r="B325" s="12" t="n">
        <v>24</v>
      </c>
      <c r="C325" s="12" t="n">
        <v>8</v>
      </c>
      <c r="D325" s="12" t="n">
        <v>2</v>
      </c>
      <c r="E325" s="12" t="inlineStr">
        <is>
          <t>Focused (FA)</t>
        </is>
      </c>
      <c r="F325" s="13" t="n">
        <v>156</v>
      </c>
      <c r="G325" s="14" t="n">
        <v>1</v>
      </c>
      <c r="H325" s="15" t="n">
        <v>0.5244604451617176</v>
      </c>
      <c r="I325" s="16" t="n">
        <v>2</v>
      </c>
      <c r="J325" s="13" t="n">
        <v>103</v>
      </c>
      <c r="K325" s="15" t="n">
        <v>0.4760776180552548</v>
      </c>
      <c r="L325" s="15" t="n">
        <v>0</v>
      </c>
    </row>
    <row r="326">
      <c r="A326" s="12" t="n">
        <v>11</v>
      </c>
      <c r="B326" s="12" t="n">
        <v>25</v>
      </c>
      <c r="C326" s="12" t="n">
        <v>8</v>
      </c>
      <c r="D326" s="12" t="n">
        <v>2</v>
      </c>
      <c r="E326" s="12" t="inlineStr">
        <is>
          <t>Focused (FA)</t>
        </is>
      </c>
      <c r="F326" s="13" t="n">
        <v>255</v>
      </c>
      <c r="G326" s="14" t="n">
        <v>1</v>
      </c>
      <c r="H326" s="15" t="n">
        <v>0.528611319759248</v>
      </c>
      <c r="I326" s="16" t="n">
        <v>2</v>
      </c>
      <c r="J326" s="13" t="n">
        <v>192</v>
      </c>
      <c r="K326" s="15" t="n">
        <v>0.4444444554072179</v>
      </c>
      <c r="L326" s="15" t="n">
        <v>0</v>
      </c>
    </row>
    <row r="327">
      <c r="A327" s="12" t="n">
        <v>11</v>
      </c>
      <c r="B327" s="12" t="n">
        <v>26</v>
      </c>
      <c r="C327" s="12" t="n">
        <v>8</v>
      </c>
      <c r="D327" s="12" t="n">
        <v>2</v>
      </c>
      <c r="E327" s="12" t="inlineStr">
        <is>
          <t>Focused (FA)</t>
        </is>
      </c>
      <c r="F327" s="13" t="n">
        <v>330</v>
      </c>
      <c r="G327" s="14" t="n">
        <v>1</v>
      </c>
      <c r="H327" s="15" t="n">
        <v>0.6955810845549325</v>
      </c>
      <c r="I327" s="16" t="n">
        <v>2</v>
      </c>
      <c r="J327" s="13" t="n">
        <v>177</v>
      </c>
      <c r="K327" s="15" t="n">
        <v>0.4015958322446678</v>
      </c>
      <c r="L327" s="15" t="n">
        <v>0</v>
      </c>
    </row>
    <row r="328">
      <c r="A328" s="12" t="n">
        <v>11</v>
      </c>
      <c r="B328" s="12" t="n">
        <v>27</v>
      </c>
      <c r="C328" s="12" t="n">
        <v>8</v>
      </c>
      <c r="D328" s="12" t="n">
        <v>2</v>
      </c>
      <c r="E328" s="12" t="inlineStr">
        <is>
          <t>Focused (FA)</t>
        </is>
      </c>
      <c r="F328" s="13" t="n">
        <v>162</v>
      </c>
      <c r="G328" s="14" t="n">
        <v>1</v>
      </c>
      <c r="H328" s="15" t="n">
        <v>0.4823537524539809</v>
      </c>
      <c r="I328" s="16" t="n">
        <v>2</v>
      </c>
      <c r="J328" s="13" t="n">
        <v>92</v>
      </c>
      <c r="K328" s="15" t="n">
        <v>0.4871053008114795</v>
      </c>
      <c r="L328" s="15" t="n">
        <v>0</v>
      </c>
    </row>
    <row r="329">
      <c r="A329" s="12" t="n">
        <v>11</v>
      </c>
      <c r="B329" s="12" t="n">
        <v>28</v>
      </c>
      <c r="C329" s="12" t="n">
        <v>8</v>
      </c>
      <c r="D329" s="12" t="n">
        <v>2</v>
      </c>
      <c r="E329" s="12" t="inlineStr">
        <is>
          <t>Focused (FA)</t>
        </is>
      </c>
      <c r="F329" s="13" t="n">
        <v>189</v>
      </c>
      <c r="G329" s="14" t="n">
        <v>1</v>
      </c>
      <c r="H329" s="15" t="n">
        <v>0.4607562732713854</v>
      </c>
      <c r="I329" s="16" t="n">
        <v>2</v>
      </c>
      <c r="J329" s="13" t="n">
        <v>83</v>
      </c>
      <c r="K329" s="15" t="n">
        <v>0.4320249381072255</v>
      </c>
      <c r="L329" s="15" t="n">
        <v>0</v>
      </c>
    </row>
    <row r="330">
      <c r="A330" s="12" t="n">
        <v>11</v>
      </c>
      <c r="B330" s="12" t="n">
        <v>29</v>
      </c>
      <c r="C330" s="12" t="n">
        <v>8</v>
      </c>
      <c r="D330" s="12" t="n">
        <v>2</v>
      </c>
      <c r="E330" s="12" t="inlineStr">
        <is>
          <t>Focused (FA)</t>
        </is>
      </c>
      <c r="F330" s="13" t="n">
        <v>236</v>
      </c>
      <c r="G330" s="14" t="n">
        <v>1</v>
      </c>
      <c r="H330" s="15" t="n">
        <v>0.491998676406626</v>
      </c>
      <c r="I330" s="16" t="n">
        <v>2</v>
      </c>
      <c r="J330" s="13" t="n">
        <v>33</v>
      </c>
      <c r="K330" s="15" t="n">
        <v>0.4134936080437291</v>
      </c>
      <c r="L330" s="15" t="n">
        <v>0</v>
      </c>
    </row>
    <row r="331">
      <c r="A331" s="12" t="n">
        <v>11</v>
      </c>
      <c r="B331" s="12" t="n">
        <v>30</v>
      </c>
      <c r="C331" s="12" t="n">
        <v>8</v>
      </c>
      <c r="D331" s="12" t="n">
        <v>2</v>
      </c>
      <c r="E331" s="12" t="inlineStr">
        <is>
          <t>Focused (FA)</t>
        </is>
      </c>
      <c r="F331" s="13" t="n">
        <v>113</v>
      </c>
      <c r="G331" s="14" t="n">
        <v>1</v>
      </c>
      <c r="H331" s="15" t="n">
        <v>0.5399817624173655</v>
      </c>
      <c r="I331" s="16" t="n">
        <v>2</v>
      </c>
      <c r="J331" s="13" t="n">
        <v>78</v>
      </c>
      <c r="K331" s="15" t="n">
        <v>0.4344278478859244</v>
      </c>
      <c r="L331" s="15" t="n">
        <v>0</v>
      </c>
    </row>
    <row r="332">
      <c r="A332" s="12" t="n">
        <v>12</v>
      </c>
      <c r="B332" s="12" t="n">
        <v>1</v>
      </c>
      <c r="C332" s="12" t="n">
        <v>8</v>
      </c>
      <c r="D332" s="12" t="n">
        <v>3</v>
      </c>
      <c r="E332" s="12" t="inlineStr">
        <is>
          <t>Focused (FA)</t>
        </is>
      </c>
      <c r="F332" s="13" t="n">
        <v>353</v>
      </c>
      <c r="G332" s="14" t="n">
        <v>1</v>
      </c>
      <c r="H332" s="15" t="n">
        <v>0.5528935605998593</v>
      </c>
      <c r="I332" s="16" t="n">
        <v>3</v>
      </c>
      <c r="J332" s="13" t="n">
        <v>86</v>
      </c>
      <c r="K332" s="15" t="n">
        <v>0.4584157369236739</v>
      </c>
      <c r="L332" s="15" t="n">
        <v>0</v>
      </c>
    </row>
    <row r="333">
      <c r="A333" s="12" t="n">
        <v>12</v>
      </c>
      <c r="B333" s="12" t="n">
        <v>2</v>
      </c>
      <c r="C333" s="12" t="n">
        <v>8</v>
      </c>
      <c r="D333" s="12" t="n">
        <v>3</v>
      </c>
      <c r="E333" s="12" t="inlineStr">
        <is>
          <t>Focused (FA)</t>
        </is>
      </c>
      <c r="F333" s="13" t="n">
        <v>277</v>
      </c>
      <c r="G333" s="14" t="n">
        <v>1</v>
      </c>
      <c r="H333" s="15" t="n">
        <v>0.5188961195892214</v>
      </c>
      <c r="I333" s="16" t="n">
        <v>3</v>
      </c>
      <c r="J333" s="13" t="n">
        <v>99</v>
      </c>
      <c r="K333" s="15" t="n">
        <v>0.4205446288213306</v>
      </c>
      <c r="L333" s="15" t="n">
        <v>0</v>
      </c>
    </row>
    <row r="334">
      <c r="A334" s="12" t="n">
        <v>12</v>
      </c>
      <c r="B334" s="12" t="n">
        <v>3</v>
      </c>
      <c r="C334" s="12" t="n">
        <v>8</v>
      </c>
      <c r="D334" s="12" t="n">
        <v>3</v>
      </c>
      <c r="E334" s="12" t="inlineStr">
        <is>
          <t>Focused (FA)</t>
        </is>
      </c>
      <c r="F334" s="13" t="n">
        <v>108</v>
      </c>
      <c r="G334" s="14" t="n">
        <v>1</v>
      </c>
      <c r="H334" s="15" t="n">
        <v>0.5724849610549003</v>
      </c>
      <c r="I334" s="16" t="n">
        <v>3</v>
      </c>
      <c r="J334" s="13" t="n">
        <v>50.5</v>
      </c>
      <c r="K334" s="15" t="n">
        <v>0.5512251580602757</v>
      </c>
      <c r="L334" s="15" t="n">
        <v>0</v>
      </c>
    </row>
    <row r="335">
      <c r="A335" s="12" t="n">
        <v>12</v>
      </c>
      <c r="B335" s="12" t="n">
        <v>4</v>
      </c>
      <c r="C335" s="12" t="n">
        <v>8</v>
      </c>
      <c r="D335" s="12" t="n">
        <v>3</v>
      </c>
      <c r="E335" s="12" t="inlineStr">
        <is>
          <t>Focused (FA)</t>
        </is>
      </c>
      <c r="F335" s="13" t="n">
        <v>240</v>
      </c>
      <c r="G335" s="14" t="n">
        <v>1</v>
      </c>
      <c r="H335" s="15" t="n">
        <v>0.5420966227437499</v>
      </c>
      <c r="I335" s="16" t="n">
        <v>3</v>
      </c>
      <c r="J335" s="13" t="n">
        <v>48</v>
      </c>
      <c r="K335" s="15" t="n">
        <v>0.4719913568700604</v>
      </c>
      <c r="L335" s="15" t="n">
        <v>0</v>
      </c>
    </row>
    <row r="336">
      <c r="A336" s="12" t="n">
        <v>12</v>
      </c>
      <c r="B336" s="12" t="n">
        <v>5</v>
      </c>
      <c r="C336" s="12" t="n">
        <v>8</v>
      </c>
      <c r="D336" s="12" t="n">
        <v>3</v>
      </c>
      <c r="E336" s="12" t="inlineStr">
        <is>
          <t>Focused (FA)</t>
        </is>
      </c>
      <c r="F336" s="13" t="n">
        <v>119</v>
      </c>
      <c r="G336" s="14" t="n">
        <v>1</v>
      </c>
      <c r="H336" s="15" t="n">
        <v>0.5496312272149582</v>
      </c>
      <c r="I336" s="16" t="n">
        <v>3</v>
      </c>
      <c r="J336" s="13" t="n">
        <v>53</v>
      </c>
      <c r="K336" s="15" t="n">
        <v>0.5434276914834318</v>
      </c>
      <c r="L336" s="15" t="n">
        <v>0</v>
      </c>
    </row>
    <row r="337">
      <c r="A337" s="12" t="n">
        <v>12</v>
      </c>
      <c r="B337" s="12" t="n">
        <v>6</v>
      </c>
      <c r="C337" s="12" t="n">
        <v>8</v>
      </c>
      <c r="D337" s="12" t="n">
        <v>3</v>
      </c>
      <c r="E337" s="12" t="inlineStr">
        <is>
          <t>Focused (FA)</t>
        </is>
      </c>
      <c r="F337" s="13" t="n">
        <v>554</v>
      </c>
      <c r="G337" s="14" t="n">
        <v>1</v>
      </c>
      <c r="H337" s="15" t="n">
        <v>0.5133796960264195</v>
      </c>
      <c r="I337" s="16" t="n">
        <v>3</v>
      </c>
      <c r="J337" s="13" t="n">
        <v>188.5</v>
      </c>
      <c r="K337" s="15" t="n">
        <v>0.4255383568987336</v>
      </c>
      <c r="L337" s="15" t="n">
        <v>0</v>
      </c>
    </row>
    <row r="338">
      <c r="A338" s="12" t="n">
        <v>12</v>
      </c>
      <c r="B338" s="12" t="n">
        <v>7</v>
      </c>
      <c r="C338" s="12" t="n">
        <v>8</v>
      </c>
      <c r="D338" s="12" t="n">
        <v>3</v>
      </c>
      <c r="E338" s="12" t="inlineStr">
        <is>
          <t>Focused (FA)</t>
        </is>
      </c>
      <c r="F338" s="13" t="n">
        <v>308</v>
      </c>
      <c r="G338" s="14" t="n">
        <v>1</v>
      </c>
      <c r="H338" s="15" t="n">
        <v>0.4975661117813859</v>
      </c>
      <c r="I338" s="16" t="n">
        <v>3</v>
      </c>
      <c r="J338" s="13" t="n">
        <v>119.5</v>
      </c>
      <c r="K338" s="15" t="n">
        <v>0.4573758807270611</v>
      </c>
      <c r="L338" s="15" t="n">
        <v>0</v>
      </c>
    </row>
    <row r="339">
      <c r="A339" s="12" t="n">
        <v>12</v>
      </c>
      <c r="B339" s="12" t="n">
        <v>8</v>
      </c>
      <c r="C339" s="12" t="n">
        <v>8</v>
      </c>
      <c r="D339" s="12" t="n">
        <v>3</v>
      </c>
      <c r="E339" s="12" t="inlineStr">
        <is>
          <t>Focused (FA)</t>
        </is>
      </c>
      <c r="F339" s="13" t="n">
        <v>382</v>
      </c>
      <c r="G339" s="14" t="n">
        <v>1</v>
      </c>
      <c r="H339" s="15" t="n">
        <v>0.4748628679151759</v>
      </c>
      <c r="I339" s="16" t="n">
        <v>3</v>
      </c>
      <c r="J339" s="13" t="n">
        <v>109</v>
      </c>
      <c r="K339" s="15" t="n">
        <v>0.387538063709262</v>
      </c>
      <c r="L339" s="15" t="n">
        <v>0</v>
      </c>
    </row>
    <row r="340">
      <c r="A340" s="12" t="n">
        <v>12</v>
      </c>
      <c r="B340" s="12" t="n">
        <v>9</v>
      </c>
      <c r="C340" s="12" t="n">
        <v>8</v>
      </c>
      <c r="D340" s="12" t="n">
        <v>3</v>
      </c>
      <c r="E340" s="12" t="inlineStr">
        <is>
          <t>Focused (FA)</t>
        </is>
      </c>
      <c r="F340" s="13" t="n">
        <v>498</v>
      </c>
      <c r="G340" s="14" t="n">
        <v>1</v>
      </c>
      <c r="H340" s="15" t="n">
        <v>0.9822465703136669</v>
      </c>
      <c r="I340" s="16" t="n">
        <v>3</v>
      </c>
      <c r="J340" s="13" t="n">
        <v>198</v>
      </c>
      <c r="K340" s="15" t="n">
        <v>0.6883878265370309</v>
      </c>
      <c r="L340" s="15" t="n">
        <v>0</v>
      </c>
    </row>
    <row r="341">
      <c r="A341" s="12" t="n">
        <v>12</v>
      </c>
      <c r="B341" s="12" t="n">
        <v>10</v>
      </c>
      <c r="C341" s="12" t="n">
        <v>8</v>
      </c>
      <c r="D341" s="12" t="n">
        <v>3</v>
      </c>
      <c r="E341" s="12" t="inlineStr">
        <is>
          <t>Focused (FA)</t>
        </is>
      </c>
      <c r="F341" s="13" t="n">
        <v>290</v>
      </c>
      <c r="G341" s="14" t="n">
        <v>1</v>
      </c>
      <c r="H341" s="15" t="n">
        <v>0.5051891307817141</v>
      </c>
      <c r="I341" s="16" t="n">
        <v>3</v>
      </c>
      <c r="J341" s="13" t="n">
        <v>58</v>
      </c>
      <c r="K341" s="15" t="n">
        <v>0.4215802937265948</v>
      </c>
      <c r="L341" s="15" t="n">
        <v>0</v>
      </c>
    </row>
    <row r="342">
      <c r="A342" s="12" t="n">
        <v>12</v>
      </c>
      <c r="B342" s="12" t="n">
        <v>11</v>
      </c>
      <c r="C342" s="12" t="n">
        <v>8</v>
      </c>
      <c r="D342" s="12" t="n">
        <v>3</v>
      </c>
      <c r="E342" s="12" t="inlineStr">
        <is>
          <t>Focused (FA)</t>
        </is>
      </c>
      <c r="F342" s="13" t="n">
        <v>255</v>
      </c>
      <c r="G342" s="14" t="n">
        <v>1</v>
      </c>
      <c r="H342" s="15" t="n">
        <v>0.7427014772313671</v>
      </c>
      <c r="I342" s="16" t="n">
        <v>3</v>
      </c>
      <c r="J342" s="13" t="n">
        <v>97.5</v>
      </c>
      <c r="K342" s="15" t="n">
        <v>0.4326603990484819</v>
      </c>
      <c r="L342" s="15" t="n">
        <v>0</v>
      </c>
    </row>
    <row r="343">
      <c r="A343" s="12" t="n">
        <v>12</v>
      </c>
      <c r="B343" s="12" t="n">
        <v>12</v>
      </c>
      <c r="C343" s="12" t="n">
        <v>8</v>
      </c>
      <c r="D343" s="12" t="n">
        <v>3</v>
      </c>
      <c r="E343" s="12" t="inlineStr">
        <is>
          <t>Focused (FA)</t>
        </is>
      </c>
      <c r="F343" s="13" t="n">
        <v>403</v>
      </c>
      <c r="G343" s="14" t="n">
        <v>1</v>
      </c>
      <c r="H343" s="15" t="n">
        <v>0.7158042819784821</v>
      </c>
      <c r="I343" s="16" t="n">
        <v>3</v>
      </c>
      <c r="J343" s="13" t="n">
        <v>115</v>
      </c>
      <c r="K343" s="15" t="n">
        <v>0.596457296721202</v>
      </c>
      <c r="L343" s="15" t="n">
        <v>0</v>
      </c>
    </row>
    <row r="344">
      <c r="A344" s="12" t="n">
        <v>12</v>
      </c>
      <c r="B344" s="12" t="n">
        <v>13</v>
      </c>
      <c r="C344" s="12" t="n">
        <v>8</v>
      </c>
      <c r="D344" s="12" t="n">
        <v>3</v>
      </c>
      <c r="E344" s="12" t="inlineStr">
        <is>
          <t>Focused (FA)</t>
        </is>
      </c>
      <c r="F344" s="13" t="n">
        <v>160</v>
      </c>
      <c r="G344" s="14" t="n">
        <v>1</v>
      </c>
      <c r="H344" s="15" t="n">
        <v>0.5653257824669174</v>
      </c>
      <c r="I344" s="16" t="n">
        <v>3</v>
      </c>
      <c r="J344" s="13" t="n">
        <v>63.5</v>
      </c>
      <c r="K344" s="15" t="n">
        <v>0.495439764056871</v>
      </c>
      <c r="L344" s="15" t="n">
        <v>0</v>
      </c>
    </row>
    <row r="345">
      <c r="A345" s="12" t="n">
        <v>12</v>
      </c>
      <c r="B345" s="12" t="n">
        <v>14</v>
      </c>
      <c r="C345" s="12" t="n">
        <v>8</v>
      </c>
      <c r="D345" s="12" t="n">
        <v>3</v>
      </c>
      <c r="E345" s="12" t="inlineStr">
        <is>
          <t>Focused (FA)</t>
        </is>
      </c>
      <c r="F345" s="13" t="n">
        <v>195</v>
      </c>
      <c r="G345" s="14" t="n">
        <v>1</v>
      </c>
      <c r="H345" s="15" t="n">
        <v>0.5034813273676265</v>
      </c>
      <c r="I345" s="16" t="n">
        <v>3</v>
      </c>
      <c r="J345" s="13" t="n">
        <v>64.5</v>
      </c>
      <c r="K345" s="15" t="n">
        <v>0.3937613658133856</v>
      </c>
      <c r="L345" s="15" t="n">
        <v>0</v>
      </c>
    </row>
    <row r="346">
      <c r="A346" s="12" t="n">
        <v>12</v>
      </c>
      <c r="B346" s="12" t="n">
        <v>15</v>
      </c>
      <c r="C346" s="12" t="n">
        <v>8</v>
      </c>
      <c r="D346" s="12" t="n">
        <v>3</v>
      </c>
      <c r="E346" s="12" t="inlineStr">
        <is>
          <t>Focused (FA)</t>
        </is>
      </c>
      <c r="F346" s="13" t="n">
        <v>337</v>
      </c>
      <c r="G346" s="14" t="n">
        <v>1</v>
      </c>
      <c r="H346" s="15" t="n">
        <v>0.5056321895481253</v>
      </c>
      <c r="I346" s="16" t="n">
        <v>3</v>
      </c>
      <c r="J346" s="13" t="n">
        <v>140</v>
      </c>
      <c r="K346" s="15" t="n">
        <v>0.4327623646023545</v>
      </c>
      <c r="L346" s="15" t="n">
        <v>0</v>
      </c>
    </row>
    <row r="347">
      <c r="A347" s="12" t="n">
        <v>12</v>
      </c>
      <c r="B347" s="12" t="n">
        <v>16</v>
      </c>
      <c r="C347" s="12" t="n">
        <v>8</v>
      </c>
      <c r="D347" s="12" t="n">
        <v>3</v>
      </c>
      <c r="E347" s="12" t="inlineStr">
        <is>
          <t>Focused (FA)</t>
        </is>
      </c>
      <c r="F347" s="13" t="n">
        <v>588</v>
      </c>
      <c r="G347" s="14" t="n">
        <v>1</v>
      </c>
      <c r="H347" s="15" t="n">
        <v>0.4967890906137494</v>
      </c>
      <c r="I347" s="16" t="n">
        <v>3</v>
      </c>
      <c r="J347" s="13" t="n">
        <v>181.5</v>
      </c>
      <c r="K347" s="15" t="n">
        <v>0.4666798156562641</v>
      </c>
      <c r="L347" s="15" t="n">
        <v>0</v>
      </c>
    </row>
    <row r="348">
      <c r="A348" s="12" t="n">
        <v>12</v>
      </c>
      <c r="B348" s="12" t="n">
        <v>17</v>
      </c>
      <c r="C348" s="12" t="n">
        <v>8</v>
      </c>
      <c r="D348" s="12" t="n">
        <v>3</v>
      </c>
      <c r="E348" s="12" t="inlineStr">
        <is>
          <t>Focused (FA)</t>
        </is>
      </c>
      <c r="F348" s="13" t="n">
        <v>299</v>
      </c>
      <c r="G348" s="14" t="n">
        <v>1</v>
      </c>
      <c r="H348" s="15" t="n">
        <v>0.5174042412313701</v>
      </c>
      <c r="I348" s="16" t="n">
        <v>3</v>
      </c>
      <c r="J348" s="13" t="n">
        <v>133</v>
      </c>
      <c r="K348" s="15" t="n">
        <v>0.4581036049946627</v>
      </c>
      <c r="L348" s="15" t="n">
        <v>0</v>
      </c>
    </row>
    <row r="349">
      <c r="A349" s="12" t="n">
        <v>12</v>
      </c>
      <c r="B349" s="12" t="n">
        <v>18</v>
      </c>
      <c r="C349" s="12" t="n">
        <v>8</v>
      </c>
      <c r="D349" s="12" t="n">
        <v>3</v>
      </c>
      <c r="E349" s="12" t="inlineStr">
        <is>
          <t>Focused (FA)</t>
        </is>
      </c>
      <c r="F349" s="13" t="n">
        <v>293</v>
      </c>
      <c r="G349" s="14" t="n">
        <v>1</v>
      </c>
      <c r="H349" s="15" t="n">
        <v>0.4982740784284677</v>
      </c>
      <c r="I349" s="16" t="n">
        <v>3</v>
      </c>
      <c r="J349" s="13" t="n">
        <v>89.5</v>
      </c>
      <c r="K349" s="15" t="n">
        <v>0.4895327893949313</v>
      </c>
      <c r="L349" s="15" t="n">
        <v>0</v>
      </c>
    </row>
    <row r="350">
      <c r="A350" s="12" t="n">
        <v>12</v>
      </c>
      <c r="B350" s="12" t="n">
        <v>19</v>
      </c>
      <c r="C350" s="12" t="n">
        <v>8</v>
      </c>
      <c r="D350" s="12" t="n">
        <v>3</v>
      </c>
      <c r="E350" s="12" t="inlineStr">
        <is>
          <t>Focused (FA)</t>
        </is>
      </c>
      <c r="F350" s="13" t="n">
        <v>352</v>
      </c>
      <c r="G350" s="14" t="n">
        <v>1</v>
      </c>
      <c r="H350" s="15" t="n">
        <v>0.5057865268439542</v>
      </c>
      <c r="I350" s="16" t="n">
        <v>3</v>
      </c>
      <c r="J350" s="13" t="n">
        <v>52.5</v>
      </c>
      <c r="K350" s="15" t="n">
        <v>0.4652058558812264</v>
      </c>
      <c r="L350" s="15" t="n">
        <v>0</v>
      </c>
    </row>
    <row r="351">
      <c r="A351" s="12" t="n">
        <v>12</v>
      </c>
      <c r="B351" s="12" t="n">
        <v>20</v>
      </c>
      <c r="C351" s="12" t="n">
        <v>8</v>
      </c>
      <c r="D351" s="12" t="n">
        <v>3</v>
      </c>
      <c r="E351" s="12" t="inlineStr">
        <is>
          <t>Focused (FA)</t>
        </is>
      </c>
      <c r="F351" s="13" t="n">
        <v>216</v>
      </c>
      <c r="G351" s="14" t="n">
        <v>1</v>
      </c>
      <c r="H351" s="15" t="n">
        <v>0.4788232881776742</v>
      </c>
      <c r="I351" s="16" t="n">
        <v>3</v>
      </c>
      <c r="J351" s="13" t="n">
        <v>44</v>
      </c>
      <c r="K351" s="15" t="n">
        <v>0.454309945907909</v>
      </c>
      <c r="L351" s="15" t="n">
        <v>0</v>
      </c>
    </row>
    <row r="352">
      <c r="A352" s="12" t="n">
        <v>12</v>
      </c>
      <c r="B352" s="12" t="n">
        <v>21</v>
      </c>
      <c r="C352" s="12" t="n">
        <v>8</v>
      </c>
      <c r="D352" s="12" t="n">
        <v>3</v>
      </c>
      <c r="E352" s="12" t="inlineStr">
        <is>
          <t>Focused (FA)</t>
        </is>
      </c>
      <c r="F352" s="13" t="n">
        <v>219</v>
      </c>
      <c r="G352" s="14" t="n">
        <v>1</v>
      </c>
      <c r="H352" s="15" t="n">
        <v>0.5182668892590304</v>
      </c>
      <c r="I352" s="16" t="n">
        <v>3</v>
      </c>
      <c r="J352" s="13" t="n">
        <v>68.5</v>
      </c>
      <c r="K352" s="15" t="n">
        <v>0.4548500828844831</v>
      </c>
      <c r="L352" s="15" t="n">
        <v>0</v>
      </c>
    </row>
    <row r="353">
      <c r="A353" s="12" t="n">
        <v>12</v>
      </c>
      <c r="B353" s="12" t="n">
        <v>22</v>
      </c>
      <c r="C353" s="12" t="n">
        <v>8</v>
      </c>
      <c r="D353" s="12" t="n">
        <v>3</v>
      </c>
      <c r="E353" s="12" t="inlineStr">
        <is>
          <t>Focused (FA)</t>
        </is>
      </c>
      <c r="F353" s="13" t="n">
        <v>230</v>
      </c>
      <c r="G353" s="14" t="n">
        <v>1</v>
      </c>
      <c r="H353" s="15" t="n">
        <v>0.576832770061274</v>
      </c>
      <c r="I353" s="16" t="n">
        <v>3</v>
      </c>
      <c r="J353" s="13" t="n">
        <v>71</v>
      </c>
      <c r="K353" s="15" t="n">
        <v>0.7022886843363952</v>
      </c>
      <c r="L353" s="15" t="n">
        <v>0</v>
      </c>
    </row>
    <row r="354">
      <c r="A354" s="12" t="n">
        <v>12</v>
      </c>
      <c r="B354" s="12" t="n">
        <v>23</v>
      </c>
      <c r="C354" s="12" t="n">
        <v>8</v>
      </c>
      <c r="D354" s="12" t="n">
        <v>3</v>
      </c>
      <c r="E354" s="12" t="inlineStr">
        <is>
          <t>Focused (FA)</t>
        </is>
      </c>
      <c r="F354" s="13" t="n">
        <v>142</v>
      </c>
      <c r="G354" s="14" t="n">
        <v>1</v>
      </c>
      <c r="H354" s="15" t="n">
        <v>0.533074075557065</v>
      </c>
      <c r="I354" s="16" t="n">
        <v>3</v>
      </c>
      <c r="J354" s="13" t="n">
        <v>35.5</v>
      </c>
      <c r="K354" s="15" t="n">
        <v>0.4692038634802129</v>
      </c>
      <c r="L354" s="15" t="n">
        <v>0</v>
      </c>
    </row>
    <row r="355">
      <c r="A355" s="12" t="n">
        <v>12</v>
      </c>
      <c r="B355" s="12" t="n">
        <v>24</v>
      </c>
      <c r="C355" s="12" t="n">
        <v>8</v>
      </c>
      <c r="D355" s="12" t="n">
        <v>3</v>
      </c>
      <c r="E355" s="12" t="inlineStr">
        <is>
          <t>Focused (FA)</t>
        </is>
      </c>
      <c r="F355" s="13" t="n">
        <v>180</v>
      </c>
      <c r="G355" s="14" t="n">
        <v>1</v>
      </c>
      <c r="H355" s="15" t="n">
        <v>0.5103410243401587</v>
      </c>
      <c r="I355" s="16" t="n">
        <v>3</v>
      </c>
      <c r="J355" s="13" t="n">
        <v>56.5</v>
      </c>
      <c r="K355" s="15" t="n">
        <v>0.4471576557831817</v>
      </c>
      <c r="L355" s="15" t="n">
        <v>0</v>
      </c>
    </row>
    <row r="356">
      <c r="A356" s="12" t="n">
        <v>12</v>
      </c>
      <c r="B356" s="12" t="n">
        <v>25</v>
      </c>
      <c r="C356" s="12" t="n">
        <v>8</v>
      </c>
      <c r="D356" s="12" t="n">
        <v>3</v>
      </c>
      <c r="E356" s="12" t="inlineStr">
        <is>
          <t>Focused (FA)</t>
        </is>
      </c>
      <c r="F356" s="13" t="n">
        <v>316</v>
      </c>
      <c r="G356" s="14" t="n">
        <v>1</v>
      </c>
      <c r="H356" s="15" t="n">
        <v>0.4816952957358891</v>
      </c>
      <c r="I356" s="16" t="n">
        <v>3</v>
      </c>
      <c r="J356" s="13" t="n">
        <v>85.5</v>
      </c>
      <c r="K356" s="15" t="n">
        <v>0.3689998976359279</v>
      </c>
      <c r="L356" s="15" t="n">
        <v>0</v>
      </c>
    </row>
    <row r="357">
      <c r="A357" s="12" t="n">
        <v>12</v>
      </c>
      <c r="B357" s="12" t="n">
        <v>26</v>
      </c>
      <c r="C357" s="12" t="n">
        <v>8</v>
      </c>
      <c r="D357" s="12" t="n">
        <v>3</v>
      </c>
      <c r="E357" s="12" t="inlineStr">
        <is>
          <t>Focused (FA)</t>
        </is>
      </c>
      <c r="F357" s="13" t="n">
        <v>410</v>
      </c>
      <c r="G357" s="14" t="n">
        <v>1</v>
      </c>
      <c r="H357" s="15" t="n">
        <v>0.4916091478539275</v>
      </c>
      <c r="I357" s="16" t="n">
        <v>3</v>
      </c>
      <c r="J357" s="13" t="n">
        <v>129.5</v>
      </c>
      <c r="K357" s="15" t="n">
        <v>0.4735248407034005</v>
      </c>
      <c r="L357" s="15" t="n">
        <v>0</v>
      </c>
    </row>
    <row r="358">
      <c r="A358" s="12" t="n">
        <v>12</v>
      </c>
      <c r="B358" s="12" t="n">
        <v>27</v>
      </c>
      <c r="C358" s="12" t="n">
        <v>8</v>
      </c>
      <c r="D358" s="12" t="n">
        <v>3</v>
      </c>
      <c r="E358" s="12" t="inlineStr">
        <is>
          <t>Focused (FA)</t>
        </is>
      </c>
      <c r="F358" s="13" t="n">
        <v>143</v>
      </c>
      <c r="G358" s="14" t="n">
        <v>1</v>
      </c>
      <c r="H358" s="15" t="n">
        <v>0.5137025771534012</v>
      </c>
      <c r="I358" s="16" t="n">
        <v>3</v>
      </c>
      <c r="J358" s="13" t="n">
        <v>55.5</v>
      </c>
      <c r="K358" s="15" t="n">
        <v>0.4432005959131407</v>
      </c>
      <c r="L358" s="15" t="n">
        <v>0</v>
      </c>
    </row>
    <row r="359">
      <c r="A359" s="12" t="n">
        <v>12</v>
      </c>
      <c r="B359" s="12" t="n">
        <v>28</v>
      </c>
      <c r="C359" s="12" t="n">
        <v>8</v>
      </c>
      <c r="D359" s="12" t="n">
        <v>3</v>
      </c>
      <c r="E359" s="12" t="inlineStr">
        <is>
          <t>Focused (FA)</t>
        </is>
      </c>
      <c r="F359" s="13" t="n">
        <v>238</v>
      </c>
      <c r="G359" s="14" t="n">
        <v>1</v>
      </c>
      <c r="H359" s="15" t="n">
        <v>0.5031692458600986</v>
      </c>
      <c r="I359" s="16" t="n">
        <v>3</v>
      </c>
      <c r="J359" s="13" t="n">
        <v>37.5</v>
      </c>
      <c r="K359" s="15" t="n">
        <v>0.4647693774679415</v>
      </c>
      <c r="L359" s="15" t="n">
        <v>0</v>
      </c>
    </row>
    <row r="360">
      <c r="A360" s="12" t="n">
        <v>12</v>
      </c>
      <c r="B360" s="12" t="n">
        <v>29</v>
      </c>
      <c r="C360" s="12" t="n">
        <v>8</v>
      </c>
      <c r="D360" s="12" t="n">
        <v>3</v>
      </c>
      <c r="E360" s="12" t="inlineStr">
        <is>
          <t>Focused (FA)</t>
        </is>
      </c>
      <c r="F360" s="13" t="n">
        <v>363</v>
      </c>
      <c r="G360" s="14" t="n">
        <v>1</v>
      </c>
      <c r="H360" s="15" t="n">
        <v>0.5002842569530634</v>
      </c>
      <c r="I360" s="16" t="n">
        <v>3</v>
      </c>
      <c r="J360" s="13" t="n">
        <v>106</v>
      </c>
      <c r="K360" s="15" t="n">
        <v>0.3943998935038702</v>
      </c>
      <c r="L360" s="15" t="n">
        <v>0</v>
      </c>
    </row>
    <row r="361">
      <c r="A361" s="12" t="n">
        <v>12</v>
      </c>
      <c r="B361" s="12" t="n">
        <v>30</v>
      </c>
      <c r="C361" s="12" t="n">
        <v>8</v>
      </c>
      <c r="D361" s="12" t="n">
        <v>3</v>
      </c>
      <c r="E361" s="12" t="inlineStr">
        <is>
          <t>Focused (FA)</t>
        </is>
      </c>
      <c r="F361" s="13" t="n">
        <v>211</v>
      </c>
      <c r="G361" s="14" t="n">
        <v>1</v>
      </c>
      <c r="H361" s="15" t="n">
        <v>0.5243773382924448</v>
      </c>
      <c r="I361" s="16" t="n">
        <v>3</v>
      </c>
      <c r="J361" s="13" t="n">
        <v>88.5</v>
      </c>
      <c r="K361" s="15" t="n">
        <v>0.5034595998517445</v>
      </c>
      <c r="L361" s="15" t="n">
        <v>0</v>
      </c>
    </row>
    <row r="362">
      <c r="A362" s="12" t="n">
        <v>13</v>
      </c>
      <c r="B362" s="12" t="n">
        <v>1</v>
      </c>
      <c r="C362" s="12" t="n">
        <v>12</v>
      </c>
      <c r="D362" s="12" t="n">
        <v>1</v>
      </c>
      <c r="E362" s="12" t="inlineStr">
        <is>
          <t>Focused (FA)</t>
        </is>
      </c>
      <c r="F362" s="13" t="n">
        <v>58</v>
      </c>
      <c r="G362" s="14" t="n">
        <v>1</v>
      </c>
      <c r="H362" s="15" t="n">
        <v>1.066425583494847</v>
      </c>
      <c r="I362" s="16" t="n">
        <v>1</v>
      </c>
      <c r="J362" s="13" t="n">
        <v>58</v>
      </c>
      <c r="K362" s="15" t="n">
        <v>0.4483725463847908</v>
      </c>
      <c r="L362" s="15" t="n">
        <v>0</v>
      </c>
    </row>
    <row r="363">
      <c r="A363" s="12" t="n">
        <v>13</v>
      </c>
      <c r="B363" s="12" t="n">
        <v>2</v>
      </c>
      <c r="C363" s="12" t="n">
        <v>12</v>
      </c>
      <c r="D363" s="12" t="n">
        <v>1</v>
      </c>
      <c r="E363" s="12" t="inlineStr">
        <is>
          <t>Focused (FA)</t>
        </is>
      </c>
      <c r="F363" s="13" t="n">
        <v>96</v>
      </c>
      <c r="G363" s="14" t="n">
        <v>1</v>
      </c>
      <c r="H363" s="15" t="n">
        <v>0.6566674156855445</v>
      </c>
      <c r="I363" s="16" t="n">
        <v>1</v>
      </c>
      <c r="J363" s="13" t="n">
        <v>96</v>
      </c>
      <c r="K363" s="15" t="n">
        <v>0.5160159401850212</v>
      </c>
      <c r="L363" s="15" t="n">
        <v>0</v>
      </c>
    </row>
    <row r="364">
      <c r="A364" s="12" t="n">
        <v>13</v>
      </c>
      <c r="B364" s="12" t="n">
        <v>3</v>
      </c>
      <c r="C364" s="12" t="n">
        <v>12</v>
      </c>
      <c r="D364" s="12" t="n">
        <v>1</v>
      </c>
      <c r="E364" s="12" t="inlineStr">
        <is>
          <t>Focused (FA)</t>
        </is>
      </c>
      <c r="F364" s="13" t="n">
        <v>67</v>
      </c>
      <c r="G364" s="14" t="n">
        <v>1</v>
      </c>
      <c r="H364" s="15" t="n">
        <v>0.6565701810617002</v>
      </c>
      <c r="I364" s="16" t="n">
        <v>1</v>
      </c>
      <c r="J364" s="13" t="n">
        <v>67</v>
      </c>
      <c r="K364" s="15" t="n">
        <v>0.5517988538022942</v>
      </c>
      <c r="L364" s="15" t="n">
        <v>0</v>
      </c>
    </row>
    <row r="365">
      <c r="A365" s="12" t="n">
        <v>13</v>
      </c>
      <c r="B365" s="12" t="n">
        <v>4</v>
      </c>
      <c r="C365" s="12" t="n">
        <v>12</v>
      </c>
      <c r="D365" s="12" t="n">
        <v>1</v>
      </c>
      <c r="E365" s="12" t="inlineStr">
        <is>
          <t>Focused (FA)</t>
        </is>
      </c>
      <c r="F365" s="13" t="n">
        <v>40</v>
      </c>
      <c r="G365" s="14" t="n">
        <v>1</v>
      </c>
      <c r="H365" s="15" t="n">
        <v>0.6738124732443749</v>
      </c>
      <c r="I365" s="16" t="n">
        <v>1</v>
      </c>
      <c r="J365" s="13" t="n">
        <v>40</v>
      </c>
      <c r="K365" s="15" t="n">
        <v>0.5874120254907974</v>
      </c>
      <c r="L365" s="15" t="n">
        <v>0</v>
      </c>
    </row>
    <row r="366">
      <c r="A366" s="12" t="n">
        <v>13</v>
      </c>
      <c r="B366" s="12" t="n">
        <v>5</v>
      </c>
      <c r="C366" s="12" t="n">
        <v>12</v>
      </c>
      <c r="D366" s="12" t="n">
        <v>1</v>
      </c>
      <c r="E366" s="12" t="inlineStr">
        <is>
          <t>Focused (FA)</t>
        </is>
      </c>
      <c r="F366" s="13" t="n">
        <v>65</v>
      </c>
      <c r="G366" s="14" t="n">
        <v>1</v>
      </c>
      <c r="H366" s="15" t="n">
        <v>2.450454855785952</v>
      </c>
      <c r="I366" s="16" t="n">
        <v>1</v>
      </c>
      <c r="J366" s="13" t="n">
        <v>65</v>
      </c>
      <c r="K366" s="15" t="n">
        <v>3.830357877720289</v>
      </c>
      <c r="L366" s="15" t="n">
        <v>0</v>
      </c>
    </row>
    <row r="367">
      <c r="A367" s="12" t="n">
        <v>13</v>
      </c>
      <c r="B367" s="12" t="n">
        <v>6</v>
      </c>
      <c r="C367" s="12" t="n">
        <v>12</v>
      </c>
      <c r="D367" s="12" t="n">
        <v>1</v>
      </c>
      <c r="E367" s="12" t="inlineStr">
        <is>
          <t>Focused (FA)</t>
        </is>
      </c>
      <c r="F367" s="13" t="n">
        <v>52</v>
      </c>
      <c r="G367" s="14" t="n">
        <v>1</v>
      </c>
      <c r="H367" s="15" t="n">
        <v>0.9873611889076523</v>
      </c>
      <c r="I367" s="16" t="n">
        <v>1</v>
      </c>
      <c r="J367" s="13" t="n">
        <v>52</v>
      </c>
      <c r="K367" s="15" t="n">
        <v>0.4759224018097623</v>
      </c>
      <c r="L367" s="15" t="n">
        <v>0</v>
      </c>
    </row>
    <row r="368">
      <c r="A368" s="12" t="n">
        <v>13</v>
      </c>
      <c r="B368" s="12" t="n">
        <v>7</v>
      </c>
      <c r="C368" s="12" t="n">
        <v>12</v>
      </c>
      <c r="D368" s="12" t="n">
        <v>1</v>
      </c>
      <c r="E368" s="12" t="inlineStr">
        <is>
          <t>Focused (FA)</t>
        </is>
      </c>
      <c r="F368" s="13" t="n">
        <v>39</v>
      </c>
      <c r="G368" s="14" t="n">
        <v>1</v>
      </c>
      <c r="H368" s="15" t="n">
        <v>0.6205068708752982</v>
      </c>
      <c r="I368" s="16" t="n">
        <v>1</v>
      </c>
      <c r="J368" s="13" t="n">
        <v>39</v>
      </c>
      <c r="K368" s="15" t="n">
        <v>0.506218718643675</v>
      </c>
      <c r="L368" s="15" t="n">
        <v>0</v>
      </c>
    </row>
    <row r="369">
      <c r="A369" s="12" t="n">
        <v>13</v>
      </c>
      <c r="B369" s="12" t="n">
        <v>8</v>
      </c>
      <c r="C369" s="12" t="n">
        <v>12</v>
      </c>
      <c r="D369" s="12" t="n">
        <v>1</v>
      </c>
      <c r="E369" s="12" t="inlineStr">
        <is>
          <t>Focused (FA)</t>
        </is>
      </c>
      <c r="F369" s="13" t="n">
        <v>132</v>
      </c>
      <c r="G369" s="14" t="n">
        <v>1</v>
      </c>
      <c r="H369" s="15" t="n">
        <v>0.6472407704586893</v>
      </c>
      <c r="I369" s="16" t="n">
        <v>1</v>
      </c>
      <c r="J369" s="13" t="n">
        <v>132</v>
      </c>
      <c r="K369" s="15" t="n">
        <v>0.6027405411978882</v>
      </c>
      <c r="L369" s="15" t="n">
        <v>0</v>
      </c>
    </row>
    <row r="370">
      <c r="A370" s="12" t="n">
        <v>13</v>
      </c>
      <c r="B370" s="12" t="n">
        <v>9</v>
      </c>
      <c r="C370" s="12" t="n">
        <v>12</v>
      </c>
      <c r="D370" s="12" t="n">
        <v>1</v>
      </c>
      <c r="E370" s="12" t="inlineStr">
        <is>
          <t>Focused (FA)</t>
        </is>
      </c>
      <c r="F370" s="13" t="n">
        <v>101</v>
      </c>
      <c r="G370" s="14" t="n">
        <v>1</v>
      </c>
      <c r="H370" s="15" t="n">
        <v>1.617588980815748</v>
      </c>
      <c r="I370" s="16" t="n">
        <v>1</v>
      </c>
      <c r="J370" s="13" t="n">
        <v>101</v>
      </c>
      <c r="K370" s="15" t="n">
        <v>0.5596731489200895</v>
      </c>
      <c r="L370" s="15" t="n">
        <v>0</v>
      </c>
    </row>
    <row r="371">
      <c r="A371" s="12" t="n">
        <v>13</v>
      </c>
      <c r="B371" s="12" t="n">
        <v>10</v>
      </c>
      <c r="C371" s="12" t="n">
        <v>12</v>
      </c>
      <c r="D371" s="12" t="n">
        <v>1</v>
      </c>
      <c r="E371" s="12" t="inlineStr">
        <is>
          <t>Focused (FA)</t>
        </is>
      </c>
      <c r="F371" s="13" t="n">
        <v>242</v>
      </c>
      <c r="G371" s="14" t="n">
        <v>1</v>
      </c>
      <c r="H371" s="15" t="n">
        <v>1.477222036158404</v>
      </c>
      <c r="I371" s="16" t="n">
        <v>1</v>
      </c>
      <c r="J371" s="13" t="n">
        <v>242</v>
      </c>
      <c r="K371" s="15" t="n">
        <v>0.4863175270302905</v>
      </c>
      <c r="L371" s="15" t="n">
        <v>0</v>
      </c>
    </row>
    <row r="372">
      <c r="A372" s="12" t="n">
        <v>13</v>
      </c>
      <c r="B372" s="12" t="n">
        <v>11</v>
      </c>
      <c r="C372" s="12" t="n">
        <v>12</v>
      </c>
      <c r="D372" s="12" t="n">
        <v>1</v>
      </c>
      <c r="E372" s="12" t="inlineStr">
        <is>
          <t>Focused (FA)</t>
        </is>
      </c>
      <c r="F372" s="13" t="n">
        <v>118</v>
      </c>
      <c r="G372" s="14" t="n">
        <v>1</v>
      </c>
      <c r="H372" s="15" t="n">
        <v>0.5985709691310719</v>
      </c>
      <c r="I372" s="16" t="n">
        <v>1</v>
      </c>
      <c r="J372" s="13" t="n">
        <v>118</v>
      </c>
      <c r="K372" s="15" t="n">
        <v>0.5156169455448922</v>
      </c>
      <c r="L372" s="15" t="n">
        <v>0</v>
      </c>
    </row>
    <row r="373">
      <c r="A373" s="12" t="n">
        <v>13</v>
      </c>
      <c r="B373" s="12" t="n">
        <v>12</v>
      </c>
      <c r="C373" s="12" t="n">
        <v>12</v>
      </c>
      <c r="D373" s="12" t="n">
        <v>1</v>
      </c>
      <c r="E373" s="12" t="inlineStr">
        <is>
          <t>Focused (FA)</t>
        </is>
      </c>
      <c r="F373" s="13" t="n">
        <v>29</v>
      </c>
      <c r="G373" s="14" t="n">
        <v>1</v>
      </c>
      <c r="H373" s="15" t="n">
        <v>0.6482594145319145</v>
      </c>
      <c r="I373" s="16" t="n">
        <v>1</v>
      </c>
      <c r="J373" s="13" t="n">
        <v>29</v>
      </c>
      <c r="K373" s="15" t="n">
        <v>0.6329805782278551</v>
      </c>
      <c r="L373" s="15" t="n">
        <v>0</v>
      </c>
    </row>
    <row r="374">
      <c r="A374" s="12" t="n">
        <v>13</v>
      </c>
      <c r="B374" s="12" t="n">
        <v>13</v>
      </c>
      <c r="C374" s="12" t="n">
        <v>12</v>
      </c>
      <c r="D374" s="12" t="n">
        <v>1</v>
      </c>
      <c r="E374" s="12" t="inlineStr">
        <is>
          <t>Focused (FA)</t>
        </is>
      </c>
      <c r="F374" s="13" t="n">
        <v>109</v>
      </c>
      <c r="G374" s="14" t="n">
        <v>1</v>
      </c>
      <c r="H374" s="15" t="n">
        <v>1.810360774169837</v>
      </c>
      <c r="I374" s="16" t="n">
        <v>1</v>
      </c>
      <c r="J374" s="13" t="n">
        <v>109</v>
      </c>
      <c r="K374" s="15" t="n">
        <v>0.4075534359933501</v>
      </c>
      <c r="L374" s="15" t="n">
        <v>0</v>
      </c>
    </row>
    <row r="375">
      <c r="A375" s="12" t="n">
        <v>13</v>
      </c>
      <c r="B375" s="12" t="n">
        <v>14</v>
      </c>
      <c r="C375" s="12" t="n">
        <v>12</v>
      </c>
      <c r="D375" s="12" t="n">
        <v>1</v>
      </c>
      <c r="E375" s="12" t="inlineStr">
        <is>
          <t>Focused (FA)</t>
        </is>
      </c>
      <c r="F375" s="13" t="n">
        <v>97</v>
      </c>
      <c r="G375" s="14" t="n">
        <v>1</v>
      </c>
      <c r="H375" s="15" t="n">
        <v>0.7258811334401299</v>
      </c>
      <c r="I375" s="16" t="n">
        <v>1</v>
      </c>
      <c r="J375" s="13" t="n">
        <v>97</v>
      </c>
      <c r="K375" s="15" t="n">
        <v>0.5035827077106897</v>
      </c>
      <c r="L375" s="15" t="n">
        <v>0</v>
      </c>
    </row>
    <row r="376">
      <c r="A376" s="12" t="n">
        <v>13</v>
      </c>
      <c r="B376" s="12" t="n">
        <v>15</v>
      </c>
      <c r="C376" s="12" t="n">
        <v>12</v>
      </c>
      <c r="D376" s="12" t="n">
        <v>1</v>
      </c>
      <c r="E376" s="12" t="inlineStr">
        <is>
          <t>Focused (FA)</t>
        </is>
      </c>
      <c r="F376" s="13" t="n">
        <v>113</v>
      </c>
      <c r="G376" s="14" t="n">
        <v>1</v>
      </c>
      <c r="H376" s="15" t="n">
        <v>0.7088694209334639</v>
      </c>
      <c r="I376" s="16" t="n">
        <v>1</v>
      </c>
      <c r="J376" s="13" t="n">
        <v>113</v>
      </c>
      <c r="K376" s="15" t="n">
        <v>0.5882470725179006</v>
      </c>
      <c r="L376" s="15" t="n">
        <v>0</v>
      </c>
    </row>
    <row r="377">
      <c r="A377" s="12" t="n">
        <v>13</v>
      </c>
      <c r="B377" s="12" t="n">
        <v>16</v>
      </c>
      <c r="C377" s="12" t="n">
        <v>12</v>
      </c>
      <c r="D377" s="12" t="n">
        <v>1</v>
      </c>
      <c r="E377" s="12" t="inlineStr">
        <is>
          <t>Focused (FA)</t>
        </is>
      </c>
      <c r="F377" s="13" t="n">
        <v>72</v>
      </c>
      <c r="G377" s="14" t="n">
        <v>1</v>
      </c>
      <c r="H377" s="15" t="n">
        <v>1.108935959850202</v>
      </c>
      <c r="I377" s="16" t="n">
        <v>1</v>
      </c>
      <c r="J377" s="13" t="n">
        <v>72</v>
      </c>
      <c r="K377" s="15" t="n">
        <v>0.4846375193627862</v>
      </c>
      <c r="L377" s="15" t="n">
        <v>0</v>
      </c>
    </row>
    <row r="378">
      <c r="A378" s="12" t="n">
        <v>13</v>
      </c>
      <c r="B378" s="12" t="n">
        <v>17</v>
      </c>
      <c r="C378" s="12" t="n">
        <v>12</v>
      </c>
      <c r="D378" s="12" t="n">
        <v>1</v>
      </c>
      <c r="E378" s="12" t="inlineStr">
        <is>
          <t>Focused (FA)</t>
        </is>
      </c>
      <c r="F378" s="13" t="n">
        <v>76</v>
      </c>
      <c r="G378" s="14" t="n">
        <v>1</v>
      </c>
      <c r="H378" s="15" t="n">
        <v>0.6319437065524481</v>
      </c>
      <c r="I378" s="16" t="n">
        <v>1</v>
      </c>
      <c r="J378" s="13" t="n">
        <v>76</v>
      </c>
      <c r="K378" s="15" t="n">
        <v>0.597249909368328</v>
      </c>
      <c r="L378" s="15" t="n">
        <v>0</v>
      </c>
    </row>
    <row r="379">
      <c r="A379" s="12" t="n">
        <v>13</v>
      </c>
      <c r="B379" s="12" t="n">
        <v>18</v>
      </c>
      <c r="C379" s="12" t="n">
        <v>12</v>
      </c>
      <c r="D379" s="12" t="n">
        <v>1</v>
      </c>
      <c r="E379" s="12" t="inlineStr">
        <is>
          <t>Focused (FA)</t>
        </is>
      </c>
      <c r="F379" s="13" t="n">
        <v>73</v>
      </c>
      <c r="G379" s="14" t="n">
        <v>1</v>
      </c>
      <c r="H379" s="15" t="n">
        <v>0.6756166610408303</v>
      </c>
      <c r="I379" s="16" t="n">
        <v>1</v>
      </c>
      <c r="J379" s="13" t="n">
        <v>73</v>
      </c>
      <c r="K379" s="15" t="n">
        <v>0.5452650353886376</v>
      </c>
      <c r="L379" s="15" t="n">
        <v>0</v>
      </c>
    </row>
    <row r="380">
      <c r="A380" s="12" t="n">
        <v>13</v>
      </c>
      <c r="B380" s="12" t="n">
        <v>19</v>
      </c>
      <c r="C380" s="12" t="n">
        <v>12</v>
      </c>
      <c r="D380" s="12" t="n">
        <v>1</v>
      </c>
      <c r="E380" s="12" t="inlineStr">
        <is>
          <t>Focused (FA)</t>
        </is>
      </c>
      <c r="F380" s="13" t="n">
        <v>40</v>
      </c>
      <c r="G380" s="14" t="n">
        <v>1</v>
      </c>
      <c r="H380" s="15" t="n">
        <v>0.6218193134653786</v>
      </c>
      <c r="I380" s="16" t="n">
        <v>1</v>
      </c>
      <c r="J380" s="13" t="n">
        <v>40</v>
      </c>
      <c r="K380" s="15" t="n">
        <v>0.6305873688487614</v>
      </c>
      <c r="L380" s="15" t="n">
        <v>0</v>
      </c>
    </row>
    <row r="381">
      <c r="A381" s="12" t="n">
        <v>13</v>
      </c>
      <c r="B381" s="12" t="n">
        <v>20</v>
      </c>
      <c r="C381" s="12" t="n">
        <v>12</v>
      </c>
      <c r="D381" s="12" t="n">
        <v>1</v>
      </c>
      <c r="E381" s="12" t="inlineStr">
        <is>
          <t>Focused (FA)</t>
        </is>
      </c>
      <c r="F381" s="13" t="n">
        <v>147</v>
      </c>
      <c r="G381" s="14" t="n">
        <v>1</v>
      </c>
      <c r="H381" s="15" t="n">
        <v>0.640338832330679</v>
      </c>
      <c r="I381" s="16" t="n">
        <v>1</v>
      </c>
      <c r="J381" s="13" t="n">
        <v>147</v>
      </c>
      <c r="K381" s="15" t="n">
        <v>0.4706765355015061</v>
      </c>
      <c r="L381" s="15" t="n">
        <v>0</v>
      </c>
    </row>
    <row r="382">
      <c r="A382" s="12" t="n">
        <v>13</v>
      </c>
      <c r="B382" s="12" t="n">
        <v>21</v>
      </c>
      <c r="C382" s="12" t="n">
        <v>12</v>
      </c>
      <c r="D382" s="12" t="n">
        <v>1</v>
      </c>
      <c r="E382" s="12" t="inlineStr">
        <is>
          <t>Focused (FA)</t>
        </is>
      </c>
      <c r="F382" s="13" t="n">
        <v>83</v>
      </c>
      <c r="G382" s="14" t="n">
        <v>1</v>
      </c>
      <c r="H382" s="15" t="n">
        <v>0.842533622416657</v>
      </c>
      <c r="I382" s="16" t="n">
        <v>1</v>
      </c>
      <c r="J382" s="13" t="n">
        <v>83</v>
      </c>
      <c r="K382" s="15" t="n">
        <v>0.5215329841475059</v>
      </c>
      <c r="L382" s="15" t="n">
        <v>0</v>
      </c>
    </row>
    <row r="383">
      <c r="A383" s="12" t="n">
        <v>13</v>
      </c>
      <c r="B383" s="12" t="n">
        <v>22</v>
      </c>
      <c r="C383" s="12" t="n">
        <v>12</v>
      </c>
      <c r="D383" s="12" t="n">
        <v>1</v>
      </c>
      <c r="E383" s="12" t="inlineStr">
        <is>
          <t>Focused (FA)</t>
        </is>
      </c>
      <c r="F383" s="13" t="n">
        <v>137</v>
      </c>
      <c r="G383" s="14" t="n">
        <v>1</v>
      </c>
      <c r="H383" s="15" t="n">
        <v>2.00781702783978</v>
      </c>
      <c r="I383" s="16" t="n">
        <v>1</v>
      </c>
      <c r="J383" s="13" t="n">
        <v>137</v>
      </c>
      <c r="K383" s="15" t="n">
        <v>0.571830509653269</v>
      </c>
      <c r="L383" s="15" t="n">
        <v>0</v>
      </c>
    </row>
    <row r="384">
      <c r="A384" s="12" t="n">
        <v>13</v>
      </c>
      <c r="B384" s="12" t="n">
        <v>23</v>
      </c>
      <c r="C384" s="12" t="n">
        <v>12</v>
      </c>
      <c r="D384" s="12" t="n">
        <v>1</v>
      </c>
      <c r="E384" s="12" t="inlineStr">
        <is>
          <t>Focused (FA)</t>
        </is>
      </c>
      <c r="F384" s="13" t="n">
        <v>65</v>
      </c>
      <c r="G384" s="14" t="n">
        <v>1</v>
      </c>
      <c r="H384" s="15" t="n">
        <v>0.7163740892427104</v>
      </c>
      <c r="I384" s="16" t="n">
        <v>1</v>
      </c>
      <c r="J384" s="13" t="n">
        <v>65</v>
      </c>
      <c r="K384" s="15" t="n">
        <v>0.4921198997334014</v>
      </c>
      <c r="L384" s="15" t="n">
        <v>0</v>
      </c>
    </row>
    <row r="385">
      <c r="A385" s="12" t="n">
        <v>13</v>
      </c>
      <c r="B385" s="12" t="n">
        <v>24</v>
      </c>
      <c r="C385" s="12" t="n">
        <v>12</v>
      </c>
      <c r="D385" s="12" t="n">
        <v>1</v>
      </c>
      <c r="E385" s="12" t="inlineStr">
        <is>
          <t>Focused (FA)</t>
        </is>
      </c>
      <c r="F385" s="13" t="n">
        <v>132</v>
      </c>
      <c r="G385" s="14" t="n">
        <v>1</v>
      </c>
      <c r="H385" s="15" t="n">
        <v>0.6599484279797564</v>
      </c>
      <c r="I385" s="16" t="n">
        <v>1</v>
      </c>
      <c r="J385" s="13" t="n">
        <v>132</v>
      </c>
      <c r="K385" s="15" t="n">
        <v>0.4879701262802136</v>
      </c>
      <c r="L385" s="15" t="n">
        <v>0</v>
      </c>
    </row>
    <row r="386">
      <c r="A386" s="12" t="n">
        <v>13</v>
      </c>
      <c r="B386" s="12" t="n">
        <v>25</v>
      </c>
      <c r="C386" s="12" t="n">
        <v>12</v>
      </c>
      <c r="D386" s="12" t="n">
        <v>1</v>
      </c>
      <c r="E386" s="12" t="inlineStr">
        <is>
          <t>Focused (FA)</t>
        </is>
      </c>
      <c r="F386" s="13" t="n">
        <v>89</v>
      </c>
      <c r="G386" s="14" t="n">
        <v>1</v>
      </c>
      <c r="H386" s="15" t="n">
        <v>0.6036921607159157</v>
      </c>
      <c r="I386" s="16" t="n">
        <v>1</v>
      </c>
      <c r="J386" s="13" t="n">
        <v>89</v>
      </c>
      <c r="K386" s="15" t="n">
        <v>0.5267566419455908</v>
      </c>
      <c r="L386" s="15" t="n">
        <v>0</v>
      </c>
    </row>
    <row r="387">
      <c r="A387" s="12" t="n">
        <v>13</v>
      </c>
      <c r="B387" s="12" t="n">
        <v>26</v>
      </c>
      <c r="C387" s="12" t="n">
        <v>12</v>
      </c>
      <c r="D387" s="12" t="n">
        <v>1</v>
      </c>
      <c r="E387" s="12" t="inlineStr">
        <is>
          <t>Focused (FA)</t>
        </is>
      </c>
      <c r="F387" s="13" t="n">
        <v>92</v>
      </c>
      <c r="G387" s="14" t="n">
        <v>1</v>
      </c>
      <c r="H387" s="15" t="n">
        <v>0.6763716218618973</v>
      </c>
      <c r="I387" s="16" t="n">
        <v>1</v>
      </c>
      <c r="J387" s="13" t="n">
        <v>92</v>
      </c>
      <c r="K387" s="15" t="n">
        <v>0.4609948345931445</v>
      </c>
      <c r="L387" s="15" t="n">
        <v>0</v>
      </c>
    </row>
    <row r="388">
      <c r="A388" s="12" t="n">
        <v>13</v>
      </c>
      <c r="B388" s="12" t="n">
        <v>27</v>
      </c>
      <c r="C388" s="12" t="n">
        <v>12</v>
      </c>
      <c r="D388" s="12" t="n">
        <v>1</v>
      </c>
      <c r="E388" s="12" t="inlineStr">
        <is>
          <t>Focused (FA)</t>
        </is>
      </c>
      <c r="F388" s="13" t="n">
        <v>117</v>
      </c>
      <c r="G388" s="14" t="n">
        <v>1</v>
      </c>
      <c r="H388" s="15" t="n">
        <v>0.7054048247847646</v>
      </c>
      <c r="I388" s="16" t="n">
        <v>1</v>
      </c>
      <c r="J388" s="13" t="n">
        <v>117</v>
      </c>
      <c r="K388" s="15" t="n">
        <v>0.5407586182026892</v>
      </c>
      <c r="L388" s="15" t="n">
        <v>0</v>
      </c>
    </row>
    <row r="389">
      <c r="A389" s="12" t="n">
        <v>13</v>
      </c>
      <c r="B389" s="12" t="n">
        <v>28</v>
      </c>
      <c r="C389" s="12" t="n">
        <v>12</v>
      </c>
      <c r="D389" s="12" t="n">
        <v>1</v>
      </c>
      <c r="E389" s="12" t="inlineStr">
        <is>
          <t>Focused (FA)</t>
        </is>
      </c>
      <c r="F389" s="13" t="n">
        <v>102</v>
      </c>
      <c r="G389" s="14" t="n">
        <v>1</v>
      </c>
      <c r="H389" s="15" t="n">
        <v>0.6554421060245623</v>
      </c>
      <c r="I389" s="16" t="n">
        <v>1</v>
      </c>
      <c r="J389" s="13" t="n">
        <v>102</v>
      </c>
      <c r="K389" s="15" t="n">
        <v>0.5162356471393207</v>
      </c>
      <c r="L389" s="15" t="n">
        <v>0</v>
      </c>
    </row>
    <row r="390">
      <c r="A390" s="12" t="n">
        <v>13</v>
      </c>
      <c r="B390" s="12" t="n">
        <v>29</v>
      </c>
      <c r="C390" s="12" t="n">
        <v>12</v>
      </c>
      <c r="D390" s="12" t="n">
        <v>1</v>
      </c>
      <c r="E390" s="12" t="inlineStr">
        <is>
          <t>Focused (FA)</t>
        </is>
      </c>
      <c r="F390" s="13" t="n">
        <v>55</v>
      </c>
      <c r="G390" s="14" t="n">
        <v>1</v>
      </c>
      <c r="H390" s="15" t="n">
        <v>2.396326379218134</v>
      </c>
      <c r="I390" s="16" t="n">
        <v>1</v>
      </c>
      <c r="J390" s="13" t="n">
        <v>55</v>
      </c>
      <c r="K390" s="15" t="n">
        <v>1.823934655836629</v>
      </c>
      <c r="L390" s="15" t="n">
        <v>0</v>
      </c>
    </row>
    <row r="391">
      <c r="A391" s="12" t="n">
        <v>13</v>
      </c>
      <c r="B391" s="12" t="n">
        <v>30</v>
      </c>
      <c r="C391" s="12" t="n">
        <v>12</v>
      </c>
      <c r="D391" s="12" t="n">
        <v>1</v>
      </c>
      <c r="E391" s="12" t="inlineStr">
        <is>
          <t>Focused (FA)</t>
        </is>
      </c>
      <c r="F391" s="13" t="n">
        <v>57</v>
      </c>
      <c r="G391" s="14" t="n">
        <v>1</v>
      </c>
      <c r="H391" s="15" t="n">
        <v>2.16561376933418</v>
      </c>
      <c r="I391" s="16" t="n">
        <v>1</v>
      </c>
      <c r="J391" s="13" t="n">
        <v>57</v>
      </c>
      <c r="K391" s="15" t="n">
        <v>0.4132559637539854</v>
      </c>
      <c r="L391" s="15" t="n">
        <v>0</v>
      </c>
    </row>
    <row r="392">
      <c r="A392" s="12" t="n">
        <v>14</v>
      </c>
      <c r="B392" s="12" t="n">
        <v>1</v>
      </c>
      <c r="C392" s="12" t="n">
        <v>12</v>
      </c>
      <c r="D392" s="12" t="n">
        <v>2</v>
      </c>
      <c r="E392" s="12" t="inlineStr">
        <is>
          <t>Focused (FA)</t>
        </is>
      </c>
      <c r="F392" s="13" t="n">
        <v>86</v>
      </c>
      <c r="G392" s="14" t="n">
        <v>1</v>
      </c>
      <c r="H392" s="15" t="n">
        <v>0.8205845800355489</v>
      </c>
      <c r="I392" s="16" t="n">
        <v>2</v>
      </c>
      <c r="J392" s="13" t="n">
        <v>48</v>
      </c>
      <c r="K392" s="15" t="n">
        <v>0.407669342889479</v>
      </c>
      <c r="L392" s="15" t="n">
        <v>0</v>
      </c>
    </row>
    <row r="393">
      <c r="A393" s="12" t="n">
        <v>14</v>
      </c>
      <c r="B393" s="12" t="n">
        <v>2</v>
      </c>
      <c r="C393" s="12" t="n">
        <v>12</v>
      </c>
      <c r="D393" s="12" t="n">
        <v>2</v>
      </c>
      <c r="E393" s="12" t="inlineStr">
        <is>
          <t>Focused (FA)</t>
        </is>
      </c>
      <c r="F393" s="13" t="n">
        <v>182</v>
      </c>
      <c r="G393" s="14" t="n">
        <v>1</v>
      </c>
      <c r="H393" s="15" t="n">
        <v>0.6283963538153762</v>
      </c>
      <c r="I393" s="16" t="n">
        <v>2</v>
      </c>
      <c r="J393" s="13" t="n">
        <v>60</v>
      </c>
      <c r="K393" s="15" t="n">
        <v>0.5593992396579872</v>
      </c>
      <c r="L393" s="15" t="n">
        <v>0</v>
      </c>
    </row>
    <row r="394">
      <c r="A394" s="12" t="n">
        <v>14</v>
      </c>
      <c r="B394" s="12" t="n">
        <v>3</v>
      </c>
      <c r="C394" s="12" t="n">
        <v>12</v>
      </c>
      <c r="D394" s="12" t="n">
        <v>2</v>
      </c>
      <c r="E394" s="12" t="inlineStr">
        <is>
          <t>Focused (FA)</t>
        </is>
      </c>
      <c r="F394" s="13" t="n">
        <v>291</v>
      </c>
      <c r="G394" s="14" t="n">
        <v>1</v>
      </c>
      <c r="H394" s="15" t="n">
        <v>0.6380142395965633</v>
      </c>
      <c r="I394" s="16" t="n">
        <v>2</v>
      </c>
      <c r="J394" s="13" t="n">
        <v>170</v>
      </c>
      <c r="K394" s="15" t="n">
        <v>0.5627673994869731</v>
      </c>
      <c r="L394" s="15" t="n">
        <v>0</v>
      </c>
    </row>
    <row r="395">
      <c r="A395" s="12" t="n">
        <v>14</v>
      </c>
      <c r="B395" s="12" t="n">
        <v>4</v>
      </c>
      <c r="C395" s="12" t="n">
        <v>12</v>
      </c>
      <c r="D395" s="12" t="n">
        <v>2</v>
      </c>
      <c r="E395" s="12" t="inlineStr">
        <is>
          <t>Focused (FA)</t>
        </is>
      </c>
      <c r="F395" s="13" t="n">
        <v>341</v>
      </c>
      <c r="G395" s="14" t="n">
        <v>1</v>
      </c>
      <c r="H395" s="15" t="n">
        <v>0.5825708772823172</v>
      </c>
      <c r="I395" s="16" t="n">
        <v>2</v>
      </c>
      <c r="J395" s="13" t="n">
        <v>252</v>
      </c>
      <c r="K395" s="15" t="n">
        <v>0.4981864579558909</v>
      </c>
      <c r="L395" s="15" t="n">
        <v>0</v>
      </c>
    </row>
    <row r="396">
      <c r="A396" s="12" t="n">
        <v>14</v>
      </c>
      <c r="B396" s="12" t="n">
        <v>5</v>
      </c>
      <c r="C396" s="12" t="n">
        <v>12</v>
      </c>
      <c r="D396" s="12" t="n">
        <v>2</v>
      </c>
      <c r="E396" s="12" t="inlineStr">
        <is>
          <t>Focused (FA)</t>
        </is>
      </c>
      <c r="F396" s="13" t="n">
        <v>248</v>
      </c>
      <c r="G396" s="14" t="n">
        <v>1</v>
      </c>
      <c r="H396" s="15" t="n">
        <v>1.694704993243551</v>
      </c>
      <c r="I396" s="16" t="n">
        <v>2</v>
      </c>
      <c r="J396" s="13" t="n">
        <v>70</v>
      </c>
      <c r="K396" s="15" t="n">
        <v>0.9070337099055444</v>
      </c>
      <c r="L396" s="15" t="n">
        <v>0</v>
      </c>
    </row>
    <row r="397">
      <c r="A397" s="12" t="n">
        <v>14</v>
      </c>
      <c r="B397" s="12" t="n">
        <v>6</v>
      </c>
      <c r="C397" s="12" t="n">
        <v>12</v>
      </c>
      <c r="D397" s="12" t="n">
        <v>2</v>
      </c>
      <c r="E397" s="12" t="inlineStr">
        <is>
          <t>Focused (FA)</t>
        </is>
      </c>
      <c r="F397" s="13" t="n">
        <v>250</v>
      </c>
      <c r="G397" s="14" t="n">
        <v>1</v>
      </c>
      <c r="H397" s="15" t="n">
        <v>2.607021099267414</v>
      </c>
      <c r="I397" s="16" t="n">
        <v>2</v>
      </c>
      <c r="J397" s="13" t="n">
        <v>206</v>
      </c>
      <c r="K397" s="15" t="n">
        <v>2.40008464366444</v>
      </c>
      <c r="L397" s="15" t="n">
        <v>0</v>
      </c>
    </row>
    <row r="398">
      <c r="A398" s="12" t="n">
        <v>14</v>
      </c>
      <c r="B398" s="12" t="n">
        <v>7</v>
      </c>
      <c r="C398" s="12" t="n">
        <v>12</v>
      </c>
      <c r="D398" s="12" t="n">
        <v>2</v>
      </c>
      <c r="E398" s="12" t="inlineStr">
        <is>
          <t>Focused (FA)</t>
        </is>
      </c>
      <c r="F398" s="13" t="n">
        <v>76</v>
      </c>
      <c r="G398" s="14" t="n">
        <v>1</v>
      </c>
      <c r="H398" s="15" t="n">
        <v>0.6703715972437655</v>
      </c>
      <c r="I398" s="16" t="n">
        <v>2</v>
      </c>
      <c r="J398" s="13" t="n">
        <v>51</v>
      </c>
      <c r="K398" s="15" t="n">
        <v>0.4934276512530383</v>
      </c>
      <c r="L398" s="15" t="n">
        <v>0</v>
      </c>
    </row>
    <row r="399">
      <c r="A399" s="12" t="n">
        <v>14</v>
      </c>
      <c r="B399" s="12" t="n">
        <v>8</v>
      </c>
      <c r="C399" s="12" t="n">
        <v>12</v>
      </c>
      <c r="D399" s="12" t="n">
        <v>2</v>
      </c>
      <c r="E399" s="12" t="inlineStr">
        <is>
          <t>Focused (FA)</t>
        </is>
      </c>
      <c r="F399" s="13" t="n">
        <v>167</v>
      </c>
      <c r="G399" s="14" t="n">
        <v>1</v>
      </c>
      <c r="H399" s="15" t="n">
        <v>0.6310821219649372</v>
      </c>
      <c r="I399" s="16" t="n">
        <v>2</v>
      </c>
      <c r="J399" s="13" t="n">
        <v>77</v>
      </c>
      <c r="K399" s="15" t="n">
        <v>0.5720061437425085</v>
      </c>
      <c r="L399" s="15" t="n">
        <v>0</v>
      </c>
    </row>
    <row r="400">
      <c r="A400" s="12" t="n">
        <v>14</v>
      </c>
      <c r="B400" s="12" t="n">
        <v>9</v>
      </c>
      <c r="C400" s="12" t="n">
        <v>12</v>
      </c>
      <c r="D400" s="12" t="n">
        <v>2</v>
      </c>
      <c r="E400" s="12" t="inlineStr">
        <is>
          <t>Focused (FA)</t>
        </is>
      </c>
      <c r="F400" s="13" t="n">
        <v>126</v>
      </c>
      <c r="G400" s="14" t="n">
        <v>1</v>
      </c>
      <c r="H400" s="15" t="n">
        <v>2.123780338895334</v>
      </c>
      <c r="I400" s="16" t="n">
        <v>2</v>
      </c>
      <c r="J400" s="13" t="n">
        <v>97</v>
      </c>
      <c r="K400" s="15" t="n">
        <v>1.876386731746407</v>
      </c>
      <c r="L400" s="15" t="n">
        <v>0</v>
      </c>
    </row>
    <row r="401">
      <c r="A401" s="12" t="n">
        <v>14</v>
      </c>
      <c r="B401" s="12" t="n">
        <v>10</v>
      </c>
      <c r="C401" s="12" t="n">
        <v>12</v>
      </c>
      <c r="D401" s="12" t="n">
        <v>2</v>
      </c>
      <c r="E401" s="12" t="inlineStr">
        <is>
          <t>Focused (FA)</t>
        </is>
      </c>
      <c r="F401" s="13" t="n">
        <v>220</v>
      </c>
      <c r="G401" s="14" t="n">
        <v>1</v>
      </c>
      <c r="H401" s="15" t="n">
        <v>0.7237592411528324</v>
      </c>
      <c r="I401" s="16" t="n">
        <v>2</v>
      </c>
      <c r="J401" s="13" t="n">
        <v>141</v>
      </c>
      <c r="K401" s="15" t="n">
        <v>0.5187892709134904</v>
      </c>
      <c r="L401" s="15" t="n">
        <v>0</v>
      </c>
    </row>
    <row r="402">
      <c r="A402" s="12" t="n">
        <v>14</v>
      </c>
      <c r="B402" s="12" t="n">
        <v>11</v>
      </c>
      <c r="C402" s="12" t="n">
        <v>12</v>
      </c>
      <c r="D402" s="12" t="n">
        <v>2</v>
      </c>
      <c r="E402" s="12" t="inlineStr">
        <is>
          <t>Focused (FA)</t>
        </is>
      </c>
      <c r="F402" s="13" t="n">
        <v>219</v>
      </c>
      <c r="G402" s="14" t="n">
        <v>1</v>
      </c>
      <c r="H402" s="15" t="n">
        <v>0.5957409228630054</v>
      </c>
      <c r="I402" s="16" t="n">
        <v>2</v>
      </c>
      <c r="J402" s="13" t="n">
        <v>137</v>
      </c>
      <c r="K402" s="15" t="n">
        <v>0.558268794076956</v>
      </c>
      <c r="L402" s="15" t="n">
        <v>0</v>
      </c>
    </row>
    <row r="403">
      <c r="A403" s="12" t="n">
        <v>14</v>
      </c>
      <c r="B403" s="12" t="n">
        <v>12</v>
      </c>
      <c r="C403" s="12" t="n">
        <v>12</v>
      </c>
      <c r="D403" s="12" t="n">
        <v>2</v>
      </c>
      <c r="E403" s="12" t="inlineStr">
        <is>
          <t>Focused (FA)</t>
        </is>
      </c>
      <c r="F403" s="13" t="n">
        <v>199</v>
      </c>
      <c r="G403" s="14" t="n">
        <v>1</v>
      </c>
      <c r="H403" s="15" t="n">
        <v>0.5683814353139506</v>
      </c>
      <c r="I403" s="16" t="n">
        <v>2</v>
      </c>
      <c r="J403" s="13" t="n">
        <v>85</v>
      </c>
      <c r="K403" s="15" t="n">
        <v>0.4810159428949409</v>
      </c>
      <c r="L403" s="15" t="n">
        <v>0</v>
      </c>
    </row>
    <row r="404">
      <c r="A404" s="12" t="n">
        <v>14</v>
      </c>
      <c r="B404" s="12" t="n">
        <v>13</v>
      </c>
      <c r="C404" s="12" t="n">
        <v>12</v>
      </c>
      <c r="D404" s="12" t="n">
        <v>2</v>
      </c>
      <c r="E404" s="12" t="inlineStr">
        <is>
          <t>Focused (FA)</t>
        </is>
      </c>
      <c r="F404" s="13" t="n">
        <v>223</v>
      </c>
      <c r="G404" s="14" t="n">
        <v>1</v>
      </c>
      <c r="H404" s="15" t="n">
        <v>1.008121320037915</v>
      </c>
      <c r="I404" s="16" t="n">
        <v>2</v>
      </c>
      <c r="J404" s="13" t="n">
        <v>75</v>
      </c>
      <c r="K404" s="15" t="n">
        <v>0.5330137355251735</v>
      </c>
      <c r="L404" s="15" t="n">
        <v>0</v>
      </c>
    </row>
    <row r="405">
      <c r="A405" s="12" t="n">
        <v>14</v>
      </c>
      <c r="B405" s="12" t="n">
        <v>14</v>
      </c>
      <c r="C405" s="12" t="n">
        <v>12</v>
      </c>
      <c r="D405" s="12" t="n">
        <v>2</v>
      </c>
      <c r="E405" s="12" t="inlineStr">
        <is>
          <t>Focused (FA)</t>
        </is>
      </c>
      <c r="F405" s="13" t="n">
        <v>244</v>
      </c>
      <c r="G405" s="14" t="n">
        <v>1</v>
      </c>
      <c r="H405" s="15" t="n">
        <v>0.8349569205239187</v>
      </c>
      <c r="I405" s="16" t="n">
        <v>2</v>
      </c>
      <c r="J405" s="13" t="n">
        <v>200</v>
      </c>
      <c r="K405" s="15" t="n">
        <v>0.8718027670519642</v>
      </c>
      <c r="L405" s="15" t="n">
        <v>0</v>
      </c>
    </row>
    <row r="406">
      <c r="A406" s="12" t="n">
        <v>14</v>
      </c>
      <c r="B406" s="12" t="n">
        <v>15</v>
      </c>
      <c r="C406" s="12" t="n">
        <v>12</v>
      </c>
      <c r="D406" s="12" t="n">
        <v>2</v>
      </c>
      <c r="E406" s="12" t="inlineStr">
        <is>
          <t>Focused (FA)</t>
        </is>
      </c>
      <c r="F406" s="13" t="n">
        <v>310</v>
      </c>
      <c r="G406" s="14" t="n">
        <v>1</v>
      </c>
      <c r="H406" s="15" t="n">
        <v>0.6070282643965388</v>
      </c>
      <c r="I406" s="16" t="n">
        <v>2</v>
      </c>
      <c r="J406" s="13" t="n">
        <v>60</v>
      </c>
      <c r="K406" s="15" t="n">
        <v>0.5250345936615256</v>
      </c>
      <c r="L406" s="15" t="n">
        <v>0</v>
      </c>
    </row>
    <row r="407">
      <c r="A407" s="12" t="n">
        <v>14</v>
      </c>
      <c r="B407" s="12" t="n">
        <v>16</v>
      </c>
      <c r="C407" s="12" t="n">
        <v>12</v>
      </c>
      <c r="D407" s="12" t="n">
        <v>2</v>
      </c>
      <c r="E407" s="12" t="inlineStr">
        <is>
          <t>Focused (FA)</t>
        </is>
      </c>
      <c r="F407" s="13" t="n">
        <v>99</v>
      </c>
      <c r="G407" s="14" t="n">
        <v>1</v>
      </c>
      <c r="H407" s="15" t="n">
        <v>0.94703273943021</v>
      </c>
      <c r="I407" s="16" t="n">
        <v>2</v>
      </c>
      <c r="J407" s="13" t="n">
        <v>64</v>
      </c>
      <c r="K407" s="15" t="n">
        <v>0.9893104340935243</v>
      </c>
      <c r="L407" s="15" t="n">
        <v>0</v>
      </c>
    </row>
    <row r="408">
      <c r="A408" s="12" t="n">
        <v>14</v>
      </c>
      <c r="B408" s="12" t="n">
        <v>17</v>
      </c>
      <c r="C408" s="12" t="n">
        <v>12</v>
      </c>
      <c r="D408" s="12" t="n">
        <v>2</v>
      </c>
      <c r="E408" s="12" t="inlineStr">
        <is>
          <t>Focused (FA)</t>
        </is>
      </c>
      <c r="F408" s="13" t="n">
        <v>239</v>
      </c>
      <c r="G408" s="14" t="n">
        <v>1</v>
      </c>
      <c r="H408" s="15" t="n">
        <v>1.013727515248154</v>
      </c>
      <c r="I408" s="16" t="n">
        <v>2</v>
      </c>
      <c r="J408" s="13" t="n">
        <v>131</v>
      </c>
      <c r="K408" s="15" t="n">
        <v>1.041875657083914</v>
      </c>
      <c r="L408" s="15" t="n">
        <v>0</v>
      </c>
    </row>
    <row r="409">
      <c r="A409" s="12" t="n">
        <v>14</v>
      </c>
      <c r="B409" s="12" t="n">
        <v>18</v>
      </c>
      <c r="C409" s="12" t="n">
        <v>12</v>
      </c>
      <c r="D409" s="12" t="n">
        <v>2</v>
      </c>
      <c r="E409" s="12" t="inlineStr">
        <is>
          <t>Focused (FA)</t>
        </is>
      </c>
      <c r="F409" s="13" t="n">
        <v>161</v>
      </c>
      <c r="G409" s="14" t="n">
        <v>1</v>
      </c>
      <c r="H409" s="15" t="n">
        <v>0.6163841951136381</v>
      </c>
      <c r="I409" s="16" t="n">
        <v>2</v>
      </c>
      <c r="J409" s="13" t="n">
        <v>16</v>
      </c>
      <c r="K409" s="15" t="n">
        <v>0.5349565446654591</v>
      </c>
      <c r="L409" s="15" t="n">
        <v>0</v>
      </c>
    </row>
    <row r="410">
      <c r="A410" s="12" t="n">
        <v>14</v>
      </c>
      <c r="B410" s="12" t="n">
        <v>19</v>
      </c>
      <c r="C410" s="12" t="n">
        <v>12</v>
      </c>
      <c r="D410" s="12" t="n">
        <v>2</v>
      </c>
      <c r="E410" s="12" t="inlineStr">
        <is>
          <t>Focused (FA)</t>
        </is>
      </c>
      <c r="F410" s="13" t="n">
        <v>269</v>
      </c>
      <c r="G410" s="14" t="n">
        <v>1</v>
      </c>
      <c r="H410" s="15" t="n">
        <v>0.5954207811196415</v>
      </c>
      <c r="I410" s="16" t="n">
        <v>2</v>
      </c>
      <c r="J410" s="13" t="n">
        <v>83</v>
      </c>
      <c r="K410" s="15" t="n">
        <v>0.5065419287468176</v>
      </c>
      <c r="L410" s="15" t="n">
        <v>0</v>
      </c>
    </row>
    <row r="411">
      <c r="A411" s="12" t="n">
        <v>14</v>
      </c>
      <c r="B411" s="12" t="n">
        <v>20</v>
      </c>
      <c r="C411" s="12" t="n">
        <v>12</v>
      </c>
      <c r="D411" s="12" t="n">
        <v>2</v>
      </c>
      <c r="E411" s="12" t="inlineStr">
        <is>
          <t>Focused (FA)</t>
        </is>
      </c>
      <c r="F411" s="13" t="n">
        <v>137</v>
      </c>
      <c r="G411" s="14" t="n">
        <v>1</v>
      </c>
      <c r="H411" s="15" t="n">
        <v>0.6204414773277775</v>
      </c>
      <c r="I411" s="16" t="n">
        <v>2</v>
      </c>
      <c r="J411" s="13" t="n">
        <v>30</v>
      </c>
      <c r="K411" s="15" t="n">
        <v>0.4780556842931603</v>
      </c>
      <c r="L411" s="15" t="n">
        <v>0</v>
      </c>
    </row>
    <row r="412">
      <c r="A412" s="12" t="n">
        <v>14</v>
      </c>
      <c r="B412" s="12" t="n">
        <v>21</v>
      </c>
      <c r="C412" s="12" t="n">
        <v>12</v>
      </c>
      <c r="D412" s="12" t="n">
        <v>2</v>
      </c>
      <c r="E412" s="12" t="inlineStr">
        <is>
          <t>Focused (FA)</t>
        </is>
      </c>
      <c r="F412" s="13" t="n">
        <v>191</v>
      </c>
      <c r="G412" s="14" t="n">
        <v>1</v>
      </c>
      <c r="H412" s="15" t="n">
        <v>0.8493358264917164</v>
      </c>
      <c r="I412" s="16" t="n">
        <v>2</v>
      </c>
      <c r="J412" s="13" t="n">
        <v>46</v>
      </c>
      <c r="K412" s="15" t="n">
        <v>0.5129840175920226</v>
      </c>
      <c r="L412" s="15" t="n">
        <v>0</v>
      </c>
    </row>
    <row r="413">
      <c r="A413" s="12" t="n">
        <v>14</v>
      </c>
      <c r="B413" s="12" t="n">
        <v>22</v>
      </c>
      <c r="C413" s="12" t="n">
        <v>12</v>
      </c>
      <c r="D413" s="12" t="n">
        <v>2</v>
      </c>
      <c r="E413" s="12" t="inlineStr">
        <is>
          <t>Focused (FA)</t>
        </is>
      </c>
      <c r="F413" s="13" t="n">
        <v>127</v>
      </c>
      <c r="G413" s="14" t="n">
        <v>1</v>
      </c>
      <c r="H413" s="15" t="n">
        <v>2.317440015162595</v>
      </c>
      <c r="I413" s="16" t="n">
        <v>2</v>
      </c>
      <c r="J413" s="13" t="n">
        <v>65</v>
      </c>
      <c r="K413" s="15" t="n">
        <v>2.698543095742415</v>
      </c>
      <c r="L413" s="15" t="n">
        <v>0</v>
      </c>
    </row>
    <row r="414">
      <c r="A414" s="12" t="n">
        <v>14</v>
      </c>
      <c r="B414" s="12" t="n">
        <v>23</v>
      </c>
      <c r="C414" s="12" t="n">
        <v>12</v>
      </c>
      <c r="D414" s="12" t="n">
        <v>2</v>
      </c>
      <c r="E414" s="12" t="inlineStr">
        <is>
          <t>Focused (FA)</t>
        </is>
      </c>
      <c r="F414" s="13" t="n">
        <v>144</v>
      </c>
      <c r="G414" s="14" t="n">
        <v>1</v>
      </c>
      <c r="H414" s="15" t="n">
        <v>0.6584952270165687</v>
      </c>
      <c r="I414" s="16" t="n">
        <v>2</v>
      </c>
      <c r="J414" s="13" t="n">
        <v>100</v>
      </c>
      <c r="K414" s="15" t="n">
        <v>0.5060066911137864</v>
      </c>
      <c r="L414" s="15" t="n">
        <v>0</v>
      </c>
    </row>
    <row r="415">
      <c r="A415" s="12" t="n">
        <v>14</v>
      </c>
      <c r="B415" s="12" t="n">
        <v>24</v>
      </c>
      <c r="C415" s="12" t="n">
        <v>12</v>
      </c>
      <c r="D415" s="12" t="n">
        <v>2</v>
      </c>
      <c r="E415" s="12" t="inlineStr">
        <is>
          <t>Focused (FA)</t>
        </is>
      </c>
      <c r="F415" s="13" t="n">
        <v>263</v>
      </c>
      <c r="G415" s="14" t="n">
        <v>1</v>
      </c>
      <c r="H415" s="15" t="n">
        <v>0.637716832652524</v>
      </c>
      <c r="I415" s="16" t="n">
        <v>2</v>
      </c>
      <c r="J415" s="13" t="n">
        <v>181</v>
      </c>
      <c r="K415" s="15" t="n">
        <v>0.5341611501789101</v>
      </c>
      <c r="L415" s="15" t="n">
        <v>0</v>
      </c>
    </row>
    <row r="416">
      <c r="A416" s="12" t="n">
        <v>14</v>
      </c>
      <c r="B416" s="12" t="n">
        <v>25</v>
      </c>
      <c r="C416" s="12" t="n">
        <v>12</v>
      </c>
      <c r="D416" s="12" t="n">
        <v>2</v>
      </c>
      <c r="E416" s="12" t="inlineStr">
        <is>
          <t>Focused (FA)</t>
        </is>
      </c>
      <c r="F416" s="13" t="n">
        <v>278</v>
      </c>
      <c r="G416" s="14" t="n">
        <v>1</v>
      </c>
      <c r="H416" s="15" t="n">
        <v>0.5934193437467715</v>
      </c>
      <c r="I416" s="16" t="n">
        <v>2</v>
      </c>
      <c r="J416" s="13" t="n">
        <v>205</v>
      </c>
      <c r="K416" s="15" t="n">
        <v>0.5194587192200428</v>
      </c>
      <c r="L416" s="15" t="n">
        <v>0</v>
      </c>
    </row>
    <row r="417">
      <c r="A417" s="12" t="n">
        <v>14</v>
      </c>
      <c r="B417" s="12" t="n">
        <v>26</v>
      </c>
      <c r="C417" s="12" t="n">
        <v>12</v>
      </c>
      <c r="D417" s="12" t="n">
        <v>2</v>
      </c>
      <c r="E417" s="12" t="inlineStr">
        <is>
          <t>Focused (FA)</t>
        </is>
      </c>
      <c r="F417" s="13" t="n">
        <v>160</v>
      </c>
      <c r="G417" s="14" t="n">
        <v>1</v>
      </c>
      <c r="H417" s="15" t="n">
        <v>0.6637285088739793</v>
      </c>
      <c r="I417" s="16" t="n">
        <v>2</v>
      </c>
      <c r="J417" s="13" t="n">
        <v>55</v>
      </c>
      <c r="K417" s="15" t="n">
        <v>0.559866030096223</v>
      </c>
      <c r="L417" s="15" t="n">
        <v>0</v>
      </c>
    </row>
    <row r="418">
      <c r="A418" s="12" t="n">
        <v>14</v>
      </c>
      <c r="B418" s="12" t="n">
        <v>27</v>
      </c>
      <c r="C418" s="12" t="n">
        <v>12</v>
      </c>
      <c r="D418" s="12" t="n">
        <v>2</v>
      </c>
      <c r="E418" s="12" t="inlineStr">
        <is>
          <t>Focused (FA)</t>
        </is>
      </c>
      <c r="F418" s="13" t="n">
        <v>239</v>
      </c>
      <c r="G418" s="14" t="n">
        <v>1</v>
      </c>
      <c r="H418" s="15" t="n">
        <v>0.6606148478415169</v>
      </c>
      <c r="I418" s="16" t="n">
        <v>2</v>
      </c>
      <c r="J418" s="13" t="n">
        <v>41</v>
      </c>
      <c r="K418" s="15" t="n">
        <v>0.508213670368918</v>
      </c>
      <c r="L418" s="15" t="n">
        <v>0</v>
      </c>
    </row>
    <row r="419">
      <c r="A419" s="12" t="n">
        <v>14</v>
      </c>
      <c r="B419" s="12" t="n">
        <v>28</v>
      </c>
      <c r="C419" s="12" t="n">
        <v>12</v>
      </c>
      <c r="D419" s="12" t="n">
        <v>2</v>
      </c>
      <c r="E419" s="12" t="inlineStr">
        <is>
          <t>Focused (FA)</t>
        </is>
      </c>
      <c r="F419" s="13" t="n">
        <v>225</v>
      </c>
      <c r="G419" s="14" t="n">
        <v>1</v>
      </c>
      <c r="H419" s="15" t="n">
        <v>0.6036384267143269</v>
      </c>
      <c r="I419" s="16" t="n">
        <v>2</v>
      </c>
      <c r="J419" s="13" t="n">
        <v>118</v>
      </c>
      <c r="K419" s="15" t="n">
        <v>0.5135044809015955</v>
      </c>
      <c r="L419" s="15" t="n">
        <v>0</v>
      </c>
    </row>
    <row r="420">
      <c r="A420" s="12" t="n">
        <v>14</v>
      </c>
      <c r="B420" s="12" t="n">
        <v>29</v>
      </c>
      <c r="C420" s="12" t="n">
        <v>12</v>
      </c>
      <c r="D420" s="12" t="n">
        <v>2</v>
      </c>
      <c r="E420" s="12" t="inlineStr">
        <is>
          <t>Focused (FA)</t>
        </is>
      </c>
      <c r="F420" s="13" t="n">
        <v>294</v>
      </c>
      <c r="G420" s="14" t="n">
        <v>1</v>
      </c>
      <c r="H420" s="15" t="n">
        <v>0.9323056622653573</v>
      </c>
      <c r="I420" s="16" t="n">
        <v>2</v>
      </c>
      <c r="J420" s="13" t="n">
        <v>145</v>
      </c>
      <c r="K420" s="15" t="n">
        <v>0.4682820492062051</v>
      </c>
      <c r="L420" s="15" t="n">
        <v>0</v>
      </c>
    </row>
    <row r="421">
      <c r="A421" s="12" t="n">
        <v>14</v>
      </c>
      <c r="B421" s="12" t="n">
        <v>30</v>
      </c>
      <c r="C421" s="12" t="n">
        <v>12</v>
      </c>
      <c r="D421" s="12" t="n">
        <v>2</v>
      </c>
      <c r="E421" s="12" t="inlineStr">
        <is>
          <t>Focused (FA)</t>
        </is>
      </c>
      <c r="F421" s="13" t="n">
        <v>114</v>
      </c>
      <c r="G421" s="14" t="n">
        <v>1</v>
      </c>
      <c r="H421" s="15" t="n">
        <v>1.685363669840841</v>
      </c>
      <c r="I421" s="16" t="n">
        <v>2</v>
      </c>
      <c r="J421" s="13" t="n">
        <v>31</v>
      </c>
      <c r="K421" s="15" t="n">
        <v>0.7536336347197623</v>
      </c>
      <c r="L421" s="15" t="n">
        <v>0</v>
      </c>
    </row>
    <row r="422">
      <c r="A422" s="12" t="n">
        <v>15</v>
      </c>
      <c r="B422" s="12" t="n">
        <v>1</v>
      </c>
      <c r="C422" s="12" t="n">
        <v>12</v>
      </c>
      <c r="D422" s="12" t="n">
        <v>3</v>
      </c>
      <c r="E422" s="12" t="inlineStr">
        <is>
          <t>Focused (FA)</t>
        </is>
      </c>
      <c r="F422" s="13" t="n">
        <v>336</v>
      </c>
      <c r="G422" s="14" t="n">
        <v>1</v>
      </c>
      <c r="H422" s="15" t="n">
        <v>0.664118913115413</v>
      </c>
      <c r="I422" s="16" t="n">
        <v>3</v>
      </c>
      <c r="J422" s="13" t="n">
        <v>86</v>
      </c>
      <c r="K422" s="15" t="n">
        <v>0.5364787052023652</v>
      </c>
      <c r="L422" s="15" t="n">
        <v>0</v>
      </c>
    </row>
    <row r="423">
      <c r="A423" s="12" t="n">
        <v>15</v>
      </c>
      <c r="B423" s="12" t="n">
        <v>2</v>
      </c>
      <c r="C423" s="12" t="n">
        <v>12</v>
      </c>
      <c r="D423" s="12" t="n">
        <v>3</v>
      </c>
      <c r="E423" s="12" t="inlineStr">
        <is>
          <t>Focused (FA)</t>
        </is>
      </c>
      <c r="F423" s="13" t="n">
        <v>564</v>
      </c>
      <c r="G423" s="14" t="n">
        <v>1</v>
      </c>
      <c r="H423" s="15" t="n">
        <v>0.8801220699777836</v>
      </c>
      <c r="I423" s="16" t="n">
        <v>3</v>
      </c>
      <c r="J423" s="13" t="n">
        <v>211.5</v>
      </c>
      <c r="K423" s="15" t="n">
        <v>0.8452232367697627</v>
      </c>
      <c r="L423" s="15" t="n">
        <v>0</v>
      </c>
    </row>
    <row r="424">
      <c r="A424" s="12" t="n">
        <v>15</v>
      </c>
      <c r="B424" s="12" t="n">
        <v>3</v>
      </c>
      <c r="C424" s="12" t="n">
        <v>12</v>
      </c>
      <c r="D424" s="12" t="n">
        <v>3</v>
      </c>
      <c r="E424" s="12" t="inlineStr">
        <is>
          <t>Focused (FA)</t>
        </is>
      </c>
      <c r="F424" s="13" t="n">
        <v>335</v>
      </c>
      <c r="G424" s="14" t="n">
        <v>1</v>
      </c>
      <c r="H424" s="15" t="n">
        <v>0.6100611345196811</v>
      </c>
      <c r="I424" s="16" t="n">
        <v>3</v>
      </c>
      <c r="J424" s="13" t="n">
        <v>143</v>
      </c>
      <c r="K424" s="15" t="n">
        <v>0.5159391464285509</v>
      </c>
      <c r="L424" s="15" t="n">
        <v>0</v>
      </c>
    </row>
    <row r="425">
      <c r="A425" s="12" t="n">
        <v>15</v>
      </c>
      <c r="B425" s="12" t="n">
        <v>4</v>
      </c>
      <c r="C425" s="12" t="n">
        <v>12</v>
      </c>
      <c r="D425" s="12" t="n">
        <v>3</v>
      </c>
      <c r="E425" s="12" t="inlineStr">
        <is>
          <t>Focused (FA)</t>
        </is>
      </c>
      <c r="F425" s="13" t="n">
        <v>264</v>
      </c>
      <c r="G425" s="14" t="n">
        <v>1</v>
      </c>
      <c r="H425" s="15" t="n">
        <v>0.5763292647363865</v>
      </c>
      <c r="I425" s="16" t="n">
        <v>3</v>
      </c>
      <c r="J425" s="13" t="n">
        <v>118.5</v>
      </c>
      <c r="K425" s="15" t="n">
        <v>0.468213153574039</v>
      </c>
      <c r="L425" s="15" t="n">
        <v>0</v>
      </c>
    </row>
    <row r="426">
      <c r="A426" s="12" t="n">
        <v>15</v>
      </c>
      <c r="B426" s="12" t="n">
        <v>5</v>
      </c>
      <c r="C426" s="12" t="n">
        <v>12</v>
      </c>
      <c r="D426" s="12" t="n">
        <v>3</v>
      </c>
      <c r="E426" s="12" t="inlineStr">
        <is>
          <t>Focused (FA)</t>
        </is>
      </c>
      <c r="F426" s="13" t="n">
        <v>232</v>
      </c>
      <c r="G426" s="14" t="n">
        <v>1</v>
      </c>
      <c r="H426" s="15" t="n">
        <v>0.7967278675700299</v>
      </c>
      <c r="I426" s="16" t="n">
        <v>3</v>
      </c>
      <c r="J426" s="13" t="n">
        <v>86.5</v>
      </c>
      <c r="K426" s="15" t="n">
        <v>0.5640197173834273</v>
      </c>
      <c r="L426" s="15" t="n">
        <v>0</v>
      </c>
    </row>
    <row r="427">
      <c r="A427" s="12" t="n">
        <v>15</v>
      </c>
      <c r="B427" s="12" t="n">
        <v>6</v>
      </c>
      <c r="C427" s="12" t="n">
        <v>12</v>
      </c>
      <c r="D427" s="12" t="n">
        <v>3</v>
      </c>
      <c r="E427" s="12" t="inlineStr">
        <is>
          <t>Focused (FA)</t>
        </is>
      </c>
      <c r="F427" s="13" t="n">
        <v>513</v>
      </c>
      <c r="G427" s="14" t="n">
        <v>1</v>
      </c>
      <c r="H427" s="15" t="n">
        <v>0.7038306162443873</v>
      </c>
      <c r="I427" s="16" t="n">
        <v>3</v>
      </c>
      <c r="J427" s="13" t="n">
        <v>201.5</v>
      </c>
      <c r="K427" s="15" t="n">
        <v>0.456126987047601</v>
      </c>
      <c r="L427" s="15" t="n">
        <v>0</v>
      </c>
    </row>
    <row r="428">
      <c r="A428" s="12" t="n">
        <v>15</v>
      </c>
      <c r="B428" s="12" t="n">
        <v>7</v>
      </c>
      <c r="C428" s="12" t="n">
        <v>12</v>
      </c>
      <c r="D428" s="12" t="n">
        <v>3</v>
      </c>
      <c r="E428" s="12" t="inlineStr">
        <is>
          <t>Focused (FA)</t>
        </is>
      </c>
      <c r="F428" s="13" t="n">
        <v>282</v>
      </c>
      <c r="G428" s="14" t="n">
        <v>1</v>
      </c>
      <c r="H428" s="15" t="n">
        <v>0.6231919288270424</v>
      </c>
      <c r="I428" s="16" t="n">
        <v>3</v>
      </c>
      <c r="J428" s="13" t="n">
        <v>128</v>
      </c>
      <c r="K428" s="15" t="n">
        <v>0.5134835646901431</v>
      </c>
      <c r="L428" s="15" t="n">
        <v>0</v>
      </c>
    </row>
    <row r="429">
      <c r="A429" s="12" t="n">
        <v>15</v>
      </c>
      <c r="B429" s="12" t="n">
        <v>8</v>
      </c>
      <c r="C429" s="12" t="n">
        <v>12</v>
      </c>
      <c r="D429" s="12" t="n">
        <v>3</v>
      </c>
      <c r="E429" s="12" t="inlineStr">
        <is>
          <t>Focused (FA)</t>
        </is>
      </c>
      <c r="F429" s="13" t="n">
        <v>138</v>
      </c>
      <c r="G429" s="14" t="n">
        <v>1</v>
      </c>
      <c r="H429" s="15" t="n">
        <v>0.6401105906646889</v>
      </c>
      <c r="I429" s="16" t="n">
        <v>3</v>
      </c>
      <c r="J429" s="13" t="n">
        <v>36</v>
      </c>
      <c r="K429" s="15" t="n">
        <v>0.6184386287683113</v>
      </c>
      <c r="L429" s="15" t="n">
        <v>0</v>
      </c>
    </row>
    <row r="430">
      <c r="A430" s="12" t="n">
        <v>15</v>
      </c>
      <c r="B430" s="12" t="n">
        <v>9</v>
      </c>
      <c r="C430" s="12" t="n">
        <v>12</v>
      </c>
      <c r="D430" s="12" t="n">
        <v>3</v>
      </c>
      <c r="E430" s="12" t="inlineStr">
        <is>
          <t>Focused (FA)</t>
        </is>
      </c>
      <c r="F430" s="13" t="n">
        <v>111</v>
      </c>
      <c r="G430" s="14" t="n">
        <v>1</v>
      </c>
      <c r="H430" s="15" t="n">
        <v>1.942629207818389</v>
      </c>
      <c r="I430" s="16" t="n">
        <v>3</v>
      </c>
      <c r="J430" s="13" t="n">
        <v>41.5</v>
      </c>
      <c r="K430" s="15" t="n">
        <v>2.015599521213796</v>
      </c>
      <c r="L430" s="15" t="n">
        <v>0</v>
      </c>
    </row>
    <row r="431">
      <c r="A431" s="12" t="n">
        <v>15</v>
      </c>
      <c r="B431" s="12" t="n">
        <v>10</v>
      </c>
      <c r="C431" s="12" t="n">
        <v>12</v>
      </c>
      <c r="D431" s="12" t="n">
        <v>3</v>
      </c>
      <c r="E431" s="12" t="inlineStr">
        <is>
          <t>Focused (FA)</t>
        </is>
      </c>
      <c r="F431" s="13" t="n">
        <v>460</v>
      </c>
      <c r="G431" s="14" t="n">
        <v>1</v>
      </c>
      <c r="H431" s="15" t="n">
        <v>1.268704157459909</v>
      </c>
      <c r="I431" s="16" t="n">
        <v>3</v>
      </c>
      <c r="J431" s="13" t="n">
        <v>72</v>
      </c>
      <c r="K431" s="15" t="n">
        <v>0.4950307152372704</v>
      </c>
      <c r="L431" s="15" t="n">
        <v>0</v>
      </c>
    </row>
    <row r="432">
      <c r="A432" s="12" t="n">
        <v>15</v>
      </c>
      <c r="B432" s="12" t="n">
        <v>11</v>
      </c>
      <c r="C432" s="12" t="n">
        <v>12</v>
      </c>
      <c r="D432" s="12" t="n">
        <v>3</v>
      </c>
      <c r="E432" s="12" t="inlineStr">
        <is>
          <t>Focused (FA)</t>
        </is>
      </c>
      <c r="F432" s="13" t="n">
        <v>271</v>
      </c>
      <c r="G432" s="14" t="n">
        <v>1</v>
      </c>
      <c r="H432" s="15" t="n">
        <v>0.5630674487385098</v>
      </c>
      <c r="I432" s="16" t="n">
        <v>3</v>
      </c>
      <c r="J432" s="13" t="n">
        <v>54.5</v>
      </c>
      <c r="K432" s="15" t="n">
        <v>0.4732887348166455</v>
      </c>
      <c r="L432" s="15" t="n">
        <v>0</v>
      </c>
    </row>
    <row r="433">
      <c r="A433" s="12" t="n">
        <v>15</v>
      </c>
      <c r="B433" s="12" t="n">
        <v>12</v>
      </c>
      <c r="C433" s="12" t="n">
        <v>12</v>
      </c>
      <c r="D433" s="12" t="n">
        <v>3</v>
      </c>
      <c r="E433" s="12" t="inlineStr">
        <is>
          <t>Focused (FA)</t>
        </is>
      </c>
      <c r="F433" s="13" t="n">
        <v>224</v>
      </c>
      <c r="G433" s="14" t="n">
        <v>1</v>
      </c>
      <c r="H433" s="15" t="n">
        <v>0.5784177714277463</v>
      </c>
      <c r="I433" s="16" t="n">
        <v>3</v>
      </c>
      <c r="J433" s="13" t="n">
        <v>96.5</v>
      </c>
      <c r="K433" s="15" t="n">
        <v>0.5182749961846126</v>
      </c>
      <c r="L433" s="15" t="n">
        <v>0</v>
      </c>
    </row>
    <row r="434">
      <c r="A434" s="12" t="n">
        <v>15</v>
      </c>
      <c r="B434" s="12" t="n">
        <v>13</v>
      </c>
      <c r="C434" s="12" t="n">
        <v>12</v>
      </c>
      <c r="D434" s="12" t="n">
        <v>3</v>
      </c>
      <c r="E434" s="12" t="inlineStr">
        <is>
          <t>Focused (FA)</t>
        </is>
      </c>
      <c r="F434" s="13" t="n">
        <v>310</v>
      </c>
      <c r="G434" s="14" t="n">
        <v>1</v>
      </c>
      <c r="H434" s="15" t="n">
        <v>0.9875586634755517</v>
      </c>
      <c r="I434" s="16" t="n">
        <v>3</v>
      </c>
      <c r="J434" s="13" t="n">
        <v>136</v>
      </c>
      <c r="K434" s="15" t="n">
        <v>1.201268376836895</v>
      </c>
      <c r="L434" s="15" t="n">
        <v>0</v>
      </c>
    </row>
    <row r="435">
      <c r="A435" s="12" t="n">
        <v>15</v>
      </c>
      <c r="B435" s="12" t="n">
        <v>14</v>
      </c>
      <c r="C435" s="12" t="n">
        <v>12</v>
      </c>
      <c r="D435" s="12" t="n">
        <v>3</v>
      </c>
      <c r="E435" s="12" t="inlineStr">
        <is>
          <t>Focused (FA)</t>
        </is>
      </c>
      <c r="F435" s="13" t="n">
        <v>159</v>
      </c>
      <c r="G435" s="14" t="n">
        <v>1</v>
      </c>
      <c r="H435" s="15" t="n">
        <v>0.7816591371927254</v>
      </c>
      <c r="I435" s="16" t="n">
        <v>3</v>
      </c>
      <c r="J435" s="13" t="n">
        <v>56.5</v>
      </c>
      <c r="K435" s="15" t="n">
        <v>0.6191440824958364</v>
      </c>
      <c r="L435" s="15" t="n">
        <v>0</v>
      </c>
    </row>
    <row r="436">
      <c r="A436" s="12" t="n">
        <v>15</v>
      </c>
      <c r="B436" s="12" t="n">
        <v>15</v>
      </c>
      <c r="C436" s="12" t="n">
        <v>12</v>
      </c>
      <c r="D436" s="12" t="n">
        <v>3</v>
      </c>
      <c r="E436" s="12" t="inlineStr">
        <is>
          <t>Focused (FA)</t>
        </is>
      </c>
      <c r="F436" s="13" t="n">
        <v>659</v>
      </c>
      <c r="G436" s="14" t="n">
        <v>1</v>
      </c>
      <c r="H436" s="15" t="n">
        <v>0.5964740277162027</v>
      </c>
      <c r="I436" s="16" t="n">
        <v>3</v>
      </c>
      <c r="J436" s="13" t="n">
        <v>190.5</v>
      </c>
      <c r="K436" s="15" t="n">
        <v>0.5274759422372822</v>
      </c>
      <c r="L436" s="15" t="n">
        <v>0</v>
      </c>
    </row>
    <row r="437">
      <c r="A437" s="12" t="n">
        <v>15</v>
      </c>
      <c r="B437" s="12" t="n">
        <v>16</v>
      </c>
      <c r="C437" s="12" t="n">
        <v>12</v>
      </c>
      <c r="D437" s="12" t="n">
        <v>3</v>
      </c>
      <c r="E437" s="12" t="inlineStr">
        <is>
          <t>Focused (FA)</t>
        </is>
      </c>
      <c r="F437" s="13" t="n">
        <v>336</v>
      </c>
      <c r="G437" s="14" t="n">
        <v>1</v>
      </c>
      <c r="H437" s="15" t="n">
        <v>0.7003969550982464</v>
      </c>
      <c r="I437" s="16" t="n">
        <v>3</v>
      </c>
      <c r="J437" s="13" t="n">
        <v>151</v>
      </c>
      <c r="K437" s="15" t="n">
        <v>0.7015985340117624</v>
      </c>
      <c r="L437" s="15" t="n">
        <v>0</v>
      </c>
    </row>
    <row r="438">
      <c r="A438" s="12" t="n">
        <v>15</v>
      </c>
      <c r="B438" s="12" t="n">
        <v>17</v>
      </c>
      <c r="C438" s="12" t="n">
        <v>12</v>
      </c>
      <c r="D438" s="12" t="n">
        <v>3</v>
      </c>
      <c r="E438" s="12" t="inlineStr">
        <is>
          <t>Focused (FA)</t>
        </is>
      </c>
      <c r="F438" s="13" t="n">
        <v>254</v>
      </c>
      <c r="G438" s="14" t="n">
        <v>1</v>
      </c>
      <c r="H438" s="15" t="n">
        <v>0.5647722819889324</v>
      </c>
      <c r="I438" s="16" t="n">
        <v>3</v>
      </c>
      <c r="J438" s="13" t="n">
        <v>62.5</v>
      </c>
      <c r="K438" s="15" t="n">
        <v>0.5172435769762204</v>
      </c>
      <c r="L438" s="15" t="n">
        <v>0</v>
      </c>
    </row>
    <row r="439">
      <c r="A439" s="12" t="n">
        <v>15</v>
      </c>
      <c r="B439" s="12" t="n">
        <v>18</v>
      </c>
      <c r="C439" s="12" t="n">
        <v>12</v>
      </c>
      <c r="D439" s="12" t="n">
        <v>3</v>
      </c>
      <c r="E439" s="12" t="inlineStr">
        <is>
          <t>Focused (FA)</t>
        </is>
      </c>
      <c r="F439" s="13" t="n">
        <v>210</v>
      </c>
      <c r="G439" s="14" t="n">
        <v>1</v>
      </c>
      <c r="H439" s="15" t="n">
        <v>0.6000842870249475</v>
      </c>
      <c r="I439" s="16" t="n">
        <v>3</v>
      </c>
      <c r="J439" s="13" t="n">
        <v>57.5</v>
      </c>
      <c r="K439" s="15" t="n">
        <v>0.5269421931589943</v>
      </c>
      <c r="L439" s="15" t="n">
        <v>0</v>
      </c>
    </row>
    <row r="440">
      <c r="A440" s="12" t="n">
        <v>15</v>
      </c>
      <c r="B440" s="12" t="n">
        <v>19</v>
      </c>
      <c r="C440" s="12" t="n">
        <v>12</v>
      </c>
      <c r="D440" s="12" t="n">
        <v>3</v>
      </c>
      <c r="E440" s="12" t="inlineStr">
        <is>
          <t>Focused (FA)</t>
        </is>
      </c>
      <c r="F440" s="13" t="n">
        <v>219</v>
      </c>
      <c r="G440" s="14" t="n">
        <v>1</v>
      </c>
      <c r="H440" s="15" t="n">
        <v>0.6024420984326295</v>
      </c>
      <c r="I440" s="16" t="n">
        <v>3</v>
      </c>
      <c r="J440" s="13" t="n">
        <v>90</v>
      </c>
      <c r="K440" s="15" t="n">
        <v>0.5034722164953065</v>
      </c>
      <c r="L440" s="15" t="n">
        <v>0</v>
      </c>
    </row>
    <row r="441">
      <c r="A441" s="12" t="n">
        <v>15</v>
      </c>
      <c r="B441" s="12" t="n">
        <v>20</v>
      </c>
      <c r="C441" s="12" t="n">
        <v>12</v>
      </c>
      <c r="D441" s="12" t="n">
        <v>3</v>
      </c>
      <c r="E441" s="12" t="inlineStr">
        <is>
          <t>Focused (FA)</t>
        </is>
      </c>
      <c r="F441" s="13" t="n">
        <v>231</v>
      </c>
      <c r="G441" s="14" t="n">
        <v>1</v>
      </c>
      <c r="H441" s="15" t="n">
        <v>0.6311407584743366</v>
      </c>
      <c r="I441" s="16" t="n">
        <v>3</v>
      </c>
      <c r="J441" s="13" t="n">
        <v>80</v>
      </c>
      <c r="K441" s="15" t="n">
        <v>0.48965536230835</v>
      </c>
      <c r="L441" s="15" t="n">
        <v>0</v>
      </c>
    </row>
    <row r="442">
      <c r="A442" s="12" t="n">
        <v>15</v>
      </c>
      <c r="B442" s="12" t="n">
        <v>21</v>
      </c>
      <c r="C442" s="12" t="n">
        <v>12</v>
      </c>
      <c r="D442" s="12" t="n">
        <v>3</v>
      </c>
      <c r="E442" s="12" t="inlineStr">
        <is>
          <t>Focused (FA)</t>
        </is>
      </c>
      <c r="F442" s="13" t="n">
        <v>391</v>
      </c>
      <c r="G442" s="14" t="n">
        <v>1</v>
      </c>
      <c r="H442" s="15" t="n">
        <v>0.8173484551902543</v>
      </c>
      <c r="I442" s="16" t="n">
        <v>3</v>
      </c>
      <c r="J442" s="13" t="n">
        <v>111.5</v>
      </c>
      <c r="K442" s="15" t="n">
        <v>0.5381106566585331</v>
      </c>
      <c r="L442" s="15" t="n">
        <v>0</v>
      </c>
    </row>
    <row r="443">
      <c r="A443" s="12" t="n">
        <v>15</v>
      </c>
      <c r="B443" s="12" t="n">
        <v>22</v>
      </c>
      <c r="C443" s="12" t="n">
        <v>12</v>
      </c>
      <c r="D443" s="12" t="n">
        <v>3</v>
      </c>
      <c r="E443" s="12" t="inlineStr">
        <is>
          <t>Focused (FA)</t>
        </is>
      </c>
      <c r="F443" s="13" t="n">
        <v>274</v>
      </c>
      <c r="G443" s="14" t="n">
        <v>1</v>
      </c>
      <c r="H443" s="15" t="n">
        <v>1.156855508047941</v>
      </c>
      <c r="I443" s="16" t="n">
        <v>3</v>
      </c>
      <c r="J443" s="13" t="n">
        <v>97.5</v>
      </c>
      <c r="K443" s="15" t="n">
        <v>1.369785784319962</v>
      </c>
      <c r="L443" s="15" t="n">
        <v>0</v>
      </c>
    </row>
    <row r="444">
      <c r="A444" s="12" t="n">
        <v>15</v>
      </c>
      <c r="B444" s="12" t="n">
        <v>23</v>
      </c>
      <c r="C444" s="12" t="n">
        <v>12</v>
      </c>
      <c r="D444" s="12" t="n">
        <v>3</v>
      </c>
      <c r="E444" s="12" t="inlineStr">
        <is>
          <t>Focused (FA)</t>
        </is>
      </c>
      <c r="F444" s="13" t="n">
        <v>204</v>
      </c>
      <c r="G444" s="14" t="n">
        <v>1</v>
      </c>
      <c r="H444" s="15" t="n">
        <v>0.6123102490989213</v>
      </c>
      <c r="I444" s="16" t="n">
        <v>3</v>
      </c>
      <c r="J444" s="13" t="n">
        <v>82.5</v>
      </c>
      <c r="K444" s="15" t="n">
        <v>0.5324234634959611</v>
      </c>
      <c r="L444" s="15" t="n">
        <v>0</v>
      </c>
    </row>
    <row r="445">
      <c r="A445" s="12" t="n">
        <v>15</v>
      </c>
      <c r="B445" s="12" t="n">
        <v>24</v>
      </c>
      <c r="C445" s="12" t="n">
        <v>12</v>
      </c>
      <c r="D445" s="12" t="n">
        <v>3</v>
      </c>
      <c r="E445" s="12" t="inlineStr">
        <is>
          <t>Focused (FA)</t>
        </is>
      </c>
      <c r="F445" s="13" t="n">
        <v>223</v>
      </c>
      <c r="G445" s="14" t="n">
        <v>1</v>
      </c>
      <c r="H445" s="15" t="n">
        <v>0.6206581611689753</v>
      </c>
      <c r="I445" s="16" t="n">
        <v>3</v>
      </c>
      <c r="J445" s="13" t="n">
        <v>74</v>
      </c>
      <c r="K445" s="15" t="n">
        <v>0.4844632730352298</v>
      </c>
      <c r="L445" s="15" t="n">
        <v>0</v>
      </c>
    </row>
    <row r="446">
      <c r="A446" s="12" t="n">
        <v>15</v>
      </c>
      <c r="B446" s="12" t="n">
        <v>25</v>
      </c>
      <c r="C446" s="12" t="n">
        <v>12</v>
      </c>
      <c r="D446" s="12" t="n">
        <v>3</v>
      </c>
      <c r="E446" s="12" t="inlineStr">
        <is>
          <t>Focused (FA)</t>
        </is>
      </c>
      <c r="F446" s="13" t="n">
        <v>383</v>
      </c>
      <c r="G446" s="14" t="n">
        <v>1</v>
      </c>
      <c r="H446" s="15" t="n">
        <v>0.61109846205976</v>
      </c>
      <c r="I446" s="16" t="n">
        <v>3</v>
      </c>
      <c r="J446" s="13" t="n">
        <v>171.5</v>
      </c>
      <c r="K446" s="15" t="n">
        <v>0.561492134211857</v>
      </c>
      <c r="L446" s="15" t="n">
        <v>0</v>
      </c>
    </row>
    <row r="447">
      <c r="A447" s="12" t="n">
        <v>15</v>
      </c>
      <c r="B447" s="12" t="n">
        <v>26</v>
      </c>
      <c r="C447" s="12" t="n">
        <v>12</v>
      </c>
      <c r="D447" s="12" t="n">
        <v>3</v>
      </c>
      <c r="E447" s="12" t="inlineStr">
        <is>
          <t>Focused (FA)</t>
        </is>
      </c>
      <c r="F447" s="13" t="n">
        <v>132</v>
      </c>
      <c r="G447" s="14" t="n">
        <v>1</v>
      </c>
      <c r="H447" s="15" t="n">
        <v>0.6152518745350559</v>
      </c>
      <c r="I447" s="16" t="n">
        <v>3</v>
      </c>
      <c r="J447" s="13" t="n">
        <v>29.5</v>
      </c>
      <c r="K447" s="15" t="n">
        <v>0.4886931105930057</v>
      </c>
      <c r="L447" s="15" t="n">
        <v>0</v>
      </c>
    </row>
    <row r="448">
      <c r="A448" s="12" t="n">
        <v>15</v>
      </c>
      <c r="B448" s="12" t="n">
        <v>27</v>
      </c>
      <c r="C448" s="12" t="n">
        <v>12</v>
      </c>
      <c r="D448" s="12" t="n">
        <v>3</v>
      </c>
      <c r="E448" s="12" t="inlineStr">
        <is>
          <t>Focused (FA)</t>
        </is>
      </c>
      <c r="F448" s="13" t="n">
        <v>297</v>
      </c>
      <c r="G448" s="14" t="n">
        <v>1</v>
      </c>
      <c r="H448" s="15" t="n">
        <v>0.6205551666625108</v>
      </c>
      <c r="I448" s="16" t="n">
        <v>3</v>
      </c>
      <c r="J448" s="13" t="n">
        <v>44</v>
      </c>
      <c r="K448" s="15" t="n">
        <v>0.4821509412839422</v>
      </c>
      <c r="L448" s="15" t="n">
        <v>0</v>
      </c>
    </row>
    <row r="449">
      <c r="A449" s="12" t="n">
        <v>15</v>
      </c>
      <c r="B449" s="12" t="n">
        <v>28</v>
      </c>
      <c r="C449" s="12" t="n">
        <v>12</v>
      </c>
      <c r="D449" s="12" t="n">
        <v>3</v>
      </c>
      <c r="E449" s="12" t="inlineStr">
        <is>
          <t>Focused (FA)</t>
        </is>
      </c>
      <c r="F449" s="13" t="n">
        <v>103</v>
      </c>
      <c r="G449" s="14" t="n">
        <v>1</v>
      </c>
      <c r="H449" s="15" t="n">
        <v>0.5858744693018544</v>
      </c>
      <c r="I449" s="16" t="n">
        <v>3</v>
      </c>
      <c r="J449" s="13" t="n">
        <v>13.5</v>
      </c>
      <c r="K449" s="15" t="n">
        <v>0.5698588764561991</v>
      </c>
      <c r="L449" s="15" t="n">
        <v>0</v>
      </c>
    </row>
    <row r="450">
      <c r="A450" s="12" t="n">
        <v>15</v>
      </c>
      <c r="B450" s="12" t="n">
        <v>29</v>
      </c>
      <c r="C450" s="12" t="n">
        <v>12</v>
      </c>
      <c r="D450" s="12" t="n">
        <v>3</v>
      </c>
      <c r="E450" s="12" t="inlineStr">
        <is>
          <t>Focused (FA)</t>
        </is>
      </c>
      <c r="F450" s="13" t="n">
        <v>163</v>
      </c>
      <c r="G450" s="14" t="n">
        <v>1</v>
      </c>
      <c r="H450" s="15" t="n">
        <v>1.333812475415795</v>
      </c>
      <c r="I450" s="16" t="n">
        <v>3</v>
      </c>
      <c r="J450" s="13" t="n">
        <v>49</v>
      </c>
      <c r="K450" s="15" t="n">
        <v>0.5171171366563533</v>
      </c>
      <c r="L450" s="15" t="n">
        <v>0</v>
      </c>
    </row>
    <row r="451">
      <c r="A451" s="12" t="n">
        <v>15</v>
      </c>
      <c r="B451" s="12" t="n">
        <v>30</v>
      </c>
      <c r="C451" s="12" t="n">
        <v>12</v>
      </c>
      <c r="D451" s="12" t="n">
        <v>3</v>
      </c>
      <c r="E451" s="12" t="inlineStr">
        <is>
          <t>Focused (FA)</t>
        </is>
      </c>
      <c r="F451" s="13" t="n">
        <v>376</v>
      </c>
      <c r="G451" s="14" t="n">
        <v>1</v>
      </c>
      <c r="H451" s="15" t="n">
        <v>0.6303842689117408</v>
      </c>
      <c r="I451" s="16" t="n">
        <v>3</v>
      </c>
      <c r="J451" s="13" t="n">
        <v>151.5</v>
      </c>
      <c r="K451" s="15" t="n">
        <v>0.4949344585724382</v>
      </c>
      <c r="L451" s="15" t="n">
        <v>0</v>
      </c>
    </row>
    <row r="452">
      <c r="A452" s="12" t="n">
        <v>16</v>
      </c>
      <c r="B452" s="12" t="n">
        <v>1</v>
      </c>
      <c r="C452" s="12" t="n">
        <v>16</v>
      </c>
      <c r="D452" s="12" t="n">
        <v>1</v>
      </c>
      <c r="E452" s="12" t="inlineStr">
        <is>
          <t>Focused (FA)</t>
        </is>
      </c>
      <c r="F452" s="13" t="n">
        <v>74</v>
      </c>
      <c r="G452" s="14" t="n">
        <v>1</v>
      </c>
      <c r="H452" s="15" t="n">
        <v>2.763192489569895</v>
      </c>
      <c r="I452" s="16" t="n">
        <v>1</v>
      </c>
      <c r="J452" s="13" t="n">
        <v>74</v>
      </c>
      <c r="K452" s="15" t="n">
        <v>2.632926367080118</v>
      </c>
      <c r="L452" s="15" t="n">
        <v>0</v>
      </c>
    </row>
    <row r="453">
      <c r="A453" s="12" t="n">
        <v>16</v>
      </c>
      <c r="B453" s="12" t="n">
        <v>2</v>
      </c>
      <c r="C453" s="12" t="n">
        <v>16</v>
      </c>
      <c r="D453" s="12" t="n">
        <v>1</v>
      </c>
      <c r="E453" s="12" t="inlineStr">
        <is>
          <t>Focused (FA)</t>
        </is>
      </c>
      <c r="F453" s="13" t="n">
        <v>231</v>
      </c>
      <c r="G453" s="14" t="n">
        <v>1</v>
      </c>
      <c r="H453" s="15" t="n">
        <v>0.7240737235411111</v>
      </c>
      <c r="I453" s="16" t="n">
        <v>1</v>
      </c>
      <c r="J453" s="13" t="n">
        <v>231</v>
      </c>
      <c r="K453" s="15" t="n">
        <v>0.5336662396781788</v>
      </c>
      <c r="L453" s="15" t="n">
        <v>0</v>
      </c>
    </row>
    <row r="454">
      <c r="A454" s="12" t="n">
        <v>16</v>
      </c>
      <c r="B454" s="12" t="n">
        <v>3</v>
      </c>
      <c r="C454" s="12" t="n">
        <v>16</v>
      </c>
      <c r="D454" s="12" t="n">
        <v>1</v>
      </c>
      <c r="E454" s="12" t="inlineStr">
        <is>
          <t>Focused (FA)</t>
        </is>
      </c>
      <c r="F454" s="13" t="n">
        <v>127</v>
      </c>
      <c r="G454" s="14" t="n">
        <v>1</v>
      </c>
      <c r="H454" s="15" t="n">
        <v>0.6618996292732053</v>
      </c>
      <c r="I454" s="16" t="n">
        <v>1</v>
      </c>
      <c r="J454" s="13" t="n">
        <v>127</v>
      </c>
      <c r="K454" s="15" t="n">
        <v>0.5708634724382338</v>
      </c>
      <c r="L454" s="15" t="n">
        <v>0</v>
      </c>
    </row>
    <row r="455">
      <c r="A455" s="12" t="n">
        <v>16</v>
      </c>
      <c r="B455" s="12" t="n">
        <v>4</v>
      </c>
      <c r="C455" s="12" t="n">
        <v>16</v>
      </c>
      <c r="D455" s="12" t="n">
        <v>1</v>
      </c>
      <c r="E455" s="12" t="inlineStr">
        <is>
          <t>Focused (FA)</t>
        </is>
      </c>
      <c r="F455" s="13" t="n">
        <v>62</v>
      </c>
      <c r="G455" s="14" t="n">
        <v>1</v>
      </c>
      <c r="H455" s="15" t="n">
        <v>0.8302407746063696</v>
      </c>
      <c r="I455" s="16" t="n">
        <v>1</v>
      </c>
      <c r="J455" s="13" t="n">
        <v>62</v>
      </c>
      <c r="K455" s="15" t="n">
        <v>0.5299914622900532</v>
      </c>
      <c r="L455" s="15" t="n">
        <v>0</v>
      </c>
    </row>
    <row r="456">
      <c r="A456" s="12" t="n">
        <v>16</v>
      </c>
      <c r="B456" s="12" t="n">
        <v>5</v>
      </c>
      <c r="C456" s="12" t="n">
        <v>16</v>
      </c>
      <c r="D456" s="12" t="n">
        <v>1</v>
      </c>
      <c r="E456" s="12" t="inlineStr">
        <is>
          <t>Focused (FA)</t>
        </is>
      </c>
      <c r="F456" s="13" t="n">
        <v>153</v>
      </c>
      <c r="G456" s="14" t="n">
        <v>1</v>
      </c>
      <c r="H456" s="15" t="n">
        <v>0.8259600309287356</v>
      </c>
      <c r="I456" s="16" t="n">
        <v>1</v>
      </c>
      <c r="J456" s="13" t="n">
        <v>153</v>
      </c>
      <c r="K456" s="15" t="n">
        <v>0.7351818522461868</v>
      </c>
      <c r="L456" s="15" t="n">
        <v>0</v>
      </c>
    </row>
    <row r="457">
      <c r="A457" s="12" t="n">
        <v>16</v>
      </c>
      <c r="B457" s="12" t="n">
        <v>6</v>
      </c>
      <c r="C457" s="12" t="n">
        <v>16</v>
      </c>
      <c r="D457" s="12" t="n">
        <v>1</v>
      </c>
      <c r="E457" s="12" t="inlineStr">
        <is>
          <t>Focused (FA)</t>
        </is>
      </c>
      <c r="F457" s="13" t="n">
        <v>123</v>
      </c>
      <c r="G457" s="14" t="n">
        <v>1</v>
      </c>
      <c r="H457" s="15" t="n">
        <v>0.6960879476446026</v>
      </c>
      <c r="I457" s="16" t="n">
        <v>1</v>
      </c>
      <c r="J457" s="13" t="n">
        <v>123</v>
      </c>
      <c r="K457" s="15" t="n">
        <v>0.5579309810607886</v>
      </c>
      <c r="L457" s="15" t="n">
        <v>0</v>
      </c>
    </row>
    <row r="458">
      <c r="A458" s="12" t="n">
        <v>16</v>
      </c>
      <c r="B458" s="12" t="n">
        <v>7</v>
      </c>
      <c r="C458" s="12" t="n">
        <v>16</v>
      </c>
      <c r="D458" s="12" t="n">
        <v>1</v>
      </c>
      <c r="E458" s="12" t="inlineStr">
        <is>
          <t>Focused (FA)</t>
        </is>
      </c>
      <c r="F458" s="13" t="n">
        <v>41</v>
      </c>
      <c r="G458" s="14" t="n">
        <v>1</v>
      </c>
      <c r="H458" s="15" t="n">
        <v>2.311602175042385</v>
      </c>
      <c r="I458" s="16" t="n">
        <v>1</v>
      </c>
      <c r="J458" s="13" t="n">
        <v>41</v>
      </c>
      <c r="K458" s="15" t="n">
        <v>3.757593582991432</v>
      </c>
      <c r="L458" s="15" t="n">
        <v>0</v>
      </c>
    </row>
    <row r="459">
      <c r="A459" s="12" t="n">
        <v>16</v>
      </c>
      <c r="B459" s="12" t="n">
        <v>8</v>
      </c>
      <c r="C459" s="12" t="n">
        <v>16</v>
      </c>
      <c r="D459" s="12" t="n">
        <v>1</v>
      </c>
      <c r="E459" s="12" t="inlineStr">
        <is>
          <t>Focused (FA)</t>
        </is>
      </c>
      <c r="F459" s="13" t="n">
        <v>48</v>
      </c>
      <c r="G459" s="14" t="n">
        <v>1</v>
      </c>
      <c r="H459" s="15" t="n">
        <v>0.9430354609116974</v>
      </c>
      <c r="I459" s="16" t="n">
        <v>1</v>
      </c>
      <c r="J459" s="13" t="n">
        <v>48</v>
      </c>
      <c r="K459" s="15" t="n">
        <v>0.5568293043628646</v>
      </c>
      <c r="L459" s="15" t="n">
        <v>0</v>
      </c>
    </row>
    <row r="460">
      <c r="A460" s="12" t="n">
        <v>16</v>
      </c>
      <c r="B460" s="12" t="n">
        <v>9</v>
      </c>
      <c r="C460" s="12" t="n">
        <v>16</v>
      </c>
      <c r="D460" s="12" t="n">
        <v>1</v>
      </c>
      <c r="E460" s="12" t="inlineStr">
        <is>
          <t>Focused (FA)</t>
        </is>
      </c>
      <c r="F460" s="13" t="n">
        <v>32</v>
      </c>
      <c r="G460" s="14" t="n">
        <v>1</v>
      </c>
      <c r="H460" s="15" t="n">
        <v>1.057618409616236</v>
      </c>
      <c r="I460" s="16" t="n">
        <v>1</v>
      </c>
      <c r="J460" s="13" t="n">
        <v>32</v>
      </c>
      <c r="K460" s="15" t="n">
        <v>0.6171024124650708</v>
      </c>
      <c r="L460" s="15" t="n">
        <v>0</v>
      </c>
    </row>
    <row r="461">
      <c r="A461" s="12" t="n">
        <v>16</v>
      </c>
      <c r="B461" s="12" t="n">
        <v>10</v>
      </c>
      <c r="C461" s="12" t="n">
        <v>16</v>
      </c>
      <c r="D461" s="12" t="n">
        <v>1</v>
      </c>
      <c r="E461" s="12" t="inlineStr">
        <is>
          <t>Focused (FA)</t>
        </is>
      </c>
      <c r="F461" s="13" t="n">
        <v>234</v>
      </c>
      <c r="G461" s="14" t="n">
        <v>1</v>
      </c>
      <c r="H461" s="15" t="n">
        <v>1.343857871728971</v>
      </c>
      <c r="I461" s="16" t="n">
        <v>1</v>
      </c>
      <c r="J461" s="13" t="n">
        <v>234</v>
      </c>
      <c r="K461" s="15" t="n">
        <v>0.5999785483817244</v>
      </c>
      <c r="L461" s="15" t="n">
        <v>0</v>
      </c>
    </row>
    <row r="462">
      <c r="A462" s="12" t="n">
        <v>16</v>
      </c>
      <c r="B462" s="12" t="n">
        <v>11</v>
      </c>
      <c r="C462" s="12" t="n">
        <v>16</v>
      </c>
      <c r="D462" s="12" t="n">
        <v>1</v>
      </c>
      <c r="E462" s="12" t="inlineStr">
        <is>
          <t>Focused (FA)</t>
        </is>
      </c>
      <c r="F462" s="13" t="n">
        <v>219</v>
      </c>
      <c r="G462" s="14" t="n">
        <v>1</v>
      </c>
      <c r="H462" s="15" t="n">
        <v>0.7170794213616741</v>
      </c>
      <c r="I462" s="16" t="n">
        <v>1</v>
      </c>
      <c r="J462" s="13" t="n">
        <v>219</v>
      </c>
      <c r="K462" s="15" t="n">
        <v>0.6880148883494807</v>
      </c>
      <c r="L462" s="15" t="n">
        <v>0</v>
      </c>
    </row>
    <row r="463">
      <c r="A463" s="12" t="n">
        <v>16</v>
      </c>
      <c r="B463" s="12" t="n">
        <v>12</v>
      </c>
      <c r="C463" s="12" t="n">
        <v>16</v>
      </c>
      <c r="D463" s="12" t="n">
        <v>1</v>
      </c>
      <c r="E463" s="12" t="inlineStr">
        <is>
          <t>Focused (FA)</t>
        </is>
      </c>
      <c r="F463" s="13" t="n">
        <v>27</v>
      </c>
      <c r="G463" s="14" t="n">
        <v>1</v>
      </c>
      <c r="H463" s="15" t="n">
        <v>0.953006775583466</v>
      </c>
      <c r="I463" s="16" t="n">
        <v>1</v>
      </c>
      <c r="J463" s="13" t="n">
        <v>27</v>
      </c>
      <c r="K463" s="15" t="n">
        <v>0.613739006582031</v>
      </c>
      <c r="L463" s="15" t="n">
        <v>0</v>
      </c>
    </row>
    <row r="464">
      <c r="A464" s="12" t="n">
        <v>16</v>
      </c>
      <c r="B464" s="12" t="n">
        <v>13</v>
      </c>
      <c r="C464" s="12" t="n">
        <v>16</v>
      </c>
      <c r="D464" s="12" t="n">
        <v>1</v>
      </c>
      <c r="E464" s="12" t="inlineStr">
        <is>
          <t>Focused (FA)</t>
        </is>
      </c>
      <c r="F464" s="13" t="n">
        <v>33</v>
      </c>
      <c r="G464" s="14" t="n">
        <v>1</v>
      </c>
      <c r="H464" s="15" t="n">
        <v>0.8665662194941606</v>
      </c>
      <c r="I464" s="16" t="n">
        <v>1</v>
      </c>
      <c r="J464" s="13" t="n">
        <v>33</v>
      </c>
      <c r="K464" s="15" t="n">
        <v>0.4812388713309834</v>
      </c>
      <c r="L464" s="15" t="n">
        <v>0</v>
      </c>
    </row>
    <row r="465">
      <c r="A465" s="12" t="n">
        <v>16</v>
      </c>
      <c r="B465" s="12" t="n">
        <v>14</v>
      </c>
      <c r="C465" s="12" t="n">
        <v>16</v>
      </c>
      <c r="D465" s="12" t="n">
        <v>1</v>
      </c>
      <c r="E465" s="12" t="inlineStr">
        <is>
          <t>Focused (FA)</t>
        </is>
      </c>
      <c r="F465" s="13" t="n">
        <v>42</v>
      </c>
      <c r="G465" s="14" t="n">
        <v>1</v>
      </c>
      <c r="H465" s="15" t="n">
        <v>0.8053841296177408</v>
      </c>
      <c r="I465" s="16" t="n">
        <v>1</v>
      </c>
      <c r="J465" s="13" t="n">
        <v>42</v>
      </c>
      <c r="K465" s="15" t="n">
        <v>0.4733154758428933</v>
      </c>
      <c r="L465" s="15" t="n">
        <v>0</v>
      </c>
    </row>
    <row r="466">
      <c r="A466" s="12" t="n">
        <v>16</v>
      </c>
      <c r="B466" s="12" t="n">
        <v>15</v>
      </c>
      <c r="C466" s="12" t="n">
        <v>16</v>
      </c>
      <c r="D466" s="12" t="n">
        <v>1</v>
      </c>
      <c r="E466" s="12" t="inlineStr">
        <is>
          <t>Focused (FA)</t>
        </is>
      </c>
      <c r="F466" s="13" t="n">
        <v>120</v>
      </c>
      <c r="G466" s="14" t="n">
        <v>1</v>
      </c>
      <c r="H466" s="15" t="n">
        <v>2.789972306877534</v>
      </c>
      <c r="I466" s="16" t="n">
        <v>1</v>
      </c>
      <c r="J466" s="13" t="n">
        <v>120</v>
      </c>
      <c r="K466" s="15" t="n">
        <v>0.7558651520675824</v>
      </c>
      <c r="L466" s="15" t="n">
        <v>0</v>
      </c>
    </row>
    <row r="467">
      <c r="A467" s="12" t="n">
        <v>16</v>
      </c>
      <c r="B467" s="12" t="n">
        <v>16</v>
      </c>
      <c r="C467" s="12" t="n">
        <v>16</v>
      </c>
      <c r="D467" s="12" t="n">
        <v>1</v>
      </c>
      <c r="E467" s="12" t="inlineStr">
        <is>
          <t>Focused (FA)</t>
        </is>
      </c>
      <c r="F467" s="13" t="n">
        <v>203</v>
      </c>
      <c r="G467" s="14" t="n">
        <v>1</v>
      </c>
      <c r="H467" s="15" t="n">
        <v>0.7282430628789509</v>
      </c>
      <c r="I467" s="16" t="n">
        <v>1</v>
      </c>
      <c r="J467" s="13" t="n">
        <v>203</v>
      </c>
      <c r="K467" s="15" t="n">
        <v>0.6555627775224954</v>
      </c>
      <c r="L467" s="15" t="n">
        <v>0</v>
      </c>
    </row>
    <row r="468">
      <c r="A468" s="12" t="n">
        <v>16</v>
      </c>
      <c r="B468" s="12" t="n">
        <v>17</v>
      </c>
      <c r="C468" s="12" t="n">
        <v>16</v>
      </c>
      <c r="D468" s="12" t="n">
        <v>1</v>
      </c>
      <c r="E468" s="12" t="inlineStr">
        <is>
          <t>Focused (FA)</t>
        </is>
      </c>
      <c r="F468" s="13" t="n">
        <v>168</v>
      </c>
      <c r="G468" s="14" t="n">
        <v>1</v>
      </c>
      <c r="H468" s="15" t="n">
        <v>0.6719369672846922</v>
      </c>
      <c r="I468" s="16" t="n">
        <v>1</v>
      </c>
      <c r="J468" s="13" t="n">
        <v>168</v>
      </c>
      <c r="K468" s="15" t="n">
        <v>0.4376892384828228</v>
      </c>
      <c r="L468" s="15" t="n">
        <v>0</v>
      </c>
    </row>
    <row r="469">
      <c r="A469" s="12" t="n">
        <v>16</v>
      </c>
      <c r="B469" s="12" t="n">
        <v>18</v>
      </c>
      <c r="C469" s="12" t="n">
        <v>16</v>
      </c>
      <c r="D469" s="12" t="n">
        <v>1</v>
      </c>
      <c r="E469" s="12" t="inlineStr">
        <is>
          <t>Focused (FA)</t>
        </is>
      </c>
      <c r="F469" s="13" t="n">
        <v>49</v>
      </c>
      <c r="G469" s="14" t="n">
        <v>1</v>
      </c>
      <c r="H469" s="15" t="n">
        <v>3.199695119123023</v>
      </c>
      <c r="I469" s="16" t="n">
        <v>1</v>
      </c>
      <c r="J469" s="13" t="n">
        <v>49</v>
      </c>
      <c r="K469" s="15" t="n">
        <v>4.032521296816714</v>
      </c>
      <c r="L469" s="15" t="n">
        <v>0</v>
      </c>
    </row>
    <row r="470">
      <c r="A470" s="12" t="n">
        <v>16</v>
      </c>
      <c r="B470" s="12" t="n">
        <v>19</v>
      </c>
      <c r="C470" s="12" t="n">
        <v>16</v>
      </c>
      <c r="D470" s="12" t="n">
        <v>1</v>
      </c>
      <c r="E470" s="12" t="inlineStr">
        <is>
          <t>Focused (FA)</t>
        </is>
      </c>
      <c r="F470" s="13" t="n">
        <v>30</v>
      </c>
      <c r="G470" s="14" t="n">
        <v>1</v>
      </c>
      <c r="H470" s="15" t="n">
        <v>0.730392482019931</v>
      </c>
      <c r="I470" s="16" t="n">
        <v>1</v>
      </c>
      <c r="J470" s="13" t="n">
        <v>30</v>
      </c>
      <c r="K470" s="15" t="n">
        <v>0.6396121850818322</v>
      </c>
      <c r="L470" s="15" t="n">
        <v>0</v>
      </c>
    </row>
    <row r="471">
      <c r="A471" s="12" t="n">
        <v>16</v>
      </c>
      <c r="B471" s="12" t="n">
        <v>20</v>
      </c>
      <c r="C471" s="12" t="n">
        <v>16</v>
      </c>
      <c r="D471" s="12" t="n">
        <v>1</v>
      </c>
      <c r="E471" s="12" t="inlineStr">
        <is>
          <t>Focused (FA)</t>
        </is>
      </c>
      <c r="F471" s="13" t="n">
        <v>112</v>
      </c>
      <c r="G471" s="14" t="n">
        <v>1</v>
      </c>
      <c r="H471" s="15" t="n">
        <v>0.6558475419362415</v>
      </c>
      <c r="I471" s="16" t="n">
        <v>1</v>
      </c>
      <c r="J471" s="13" t="n">
        <v>112</v>
      </c>
      <c r="K471" s="15" t="n">
        <v>0.4804544691797585</v>
      </c>
      <c r="L471" s="15" t="n">
        <v>0</v>
      </c>
    </row>
    <row r="472">
      <c r="A472" s="12" t="n">
        <v>16</v>
      </c>
      <c r="B472" s="12" t="n">
        <v>21</v>
      </c>
      <c r="C472" s="12" t="n">
        <v>16</v>
      </c>
      <c r="D472" s="12" t="n">
        <v>1</v>
      </c>
      <c r="E472" s="12" t="inlineStr">
        <is>
          <t>Focused (FA)</t>
        </is>
      </c>
      <c r="F472" s="13" t="n">
        <v>32</v>
      </c>
      <c r="G472" s="14" t="n">
        <v>1</v>
      </c>
      <c r="H472" s="15" t="n">
        <v>1.568237806941544</v>
      </c>
      <c r="I472" s="16" t="n">
        <v>1</v>
      </c>
      <c r="J472" s="13" t="n">
        <v>32</v>
      </c>
      <c r="K472" s="15" t="n">
        <v>1.053046598362964</v>
      </c>
      <c r="L472" s="15" t="n">
        <v>0</v>
      </c>
    </row>
    <row r="473">
      <c r="A473" s="12" t="n">
        <v>16</v>
      </c>
      <c r="B473" s="12" t="n">
        <v>22</v>
      </c>
      <c r="C473" s="12" t="n">
        <v>16</v>
      </c>
      <c r="D473" s="12" t="n">
        <v>1</v>
      </c>
      <c r="E473" s="12" t="inlineStr">
        <is>
          <t>Focused (FA)</t>
        </is>
      </c>
      <c r="F473" s="13" t="n">
        <v>90</v>
      </c>
      <c r="G473" s="14" t="n">
        <v>1</v>
      </c>
      <c r="H473" s="15" t="n">
        <v>2.299084493215735</v>
      </c>
      <c r="I473" s="16" t="n">
        <v>1</v>
      </c>
      <c r="J473" s="13" t="n">
        <v>90</v>
      </c>
      <c r="K473" s="15" t="n">
        <v>3.692534143457315</v>
      </c>
      <c r="L473" s="15" t="n">
        <v>0</v>
      </c>
    </row>
    <row r="474">
      <c r="A474" s="12" t="n">
        <v>16</v>
      </c>
      <c r="B474" s="12" t="n">
        <v>23</v>
      </c>
      <c r="C474" s="12" t="n">
        <v>16</v>
      </c>
      <c r="D474" s="12" t="n">
        <v>1</v>
      </c>
      <c r="E474" s="12" t="inlineStr">
        <is>
          <t>Focused (FA)</t>
        </is>
      </c>
      <c r="F474" s="13" t="n">
        <v>151</v>
      </c>
      <c r="G474" s="14" t="n">
        <v>1</v>
      </c>
      <c r="H474" s="15" t="n">
        <v>1.546965540143382</v>
      </c>
      <c r="I474" s="16" t="n">
        <v>1</v>
      </c>
      <c r="J474" s="13" t="n">
        <v>151</v>
      </c>
      <c r="K474" s="15" t="n">
        <v>0.6963320516844012</v>
      </c>
      <c r="L474" s="15" t="n">
        <v>0</v>
      </c>
    </row>
    <row r="475">
      <c r="A475" s="12" t="n">
        <v>16</v>
      </c>
      <c r="B475" s="12" t="n">
        <v>24</v>
      </c>
      <c r="C475" s="12" t="n">
        <v>16</v>
      </c>
      <c r="D475" s="12" t="n">
        <v>1</v>
      </c>
      <c r="E475" s="12" t="inlineStr">
        <is>
          <t>Focused (FA)</t>
        </is>
      </c>
      <c r="F475" s="13" t="n">
        <v>24</v>
      </c>
      <c r="G475" s="14" t="n">
        <v>1</v>
      </c>
      <c r="H475" s="15" t="n">
        <v>1.014263979101322</v>
      </c>
      <c r="I475" s="16" t="n">
        <v>1</v>
      </c>
      <c r="J475" s="13" t="n">
        <v>24</v>
      </c>
      <c r="K475" s="15" t="n">
        <v>0.6566051349777294</v>
      </c>
      <c r="L475" s="15" t="n">
        <v>0</v>
      </c>
    </row>
    <row r="476">
      <c r="A476" s="12" t="n">
        <v>16</v>
      </c>
      <c r="B476" s="12" t="n">
        <v>25</v>
      </c>
      <c r="C476" s="12" t="n">
        <v>16</v>
      </c>
      <c r="D476" s="12" t="n">
        <v>1</v>
      </c>
      <c r="E476" s="12" t="inlineStr">
        <is>
          <t>Focused (FA)</t>
        </is>
      </c>
      <c r="F476" s="13" t="n">
        <v>110</v>
      </c>
      <c r="G476" s="14" t="n">
        <v>1</v>
      </c>
      <c r="H476" s="15" t="n">
        <v>3.209586948088856</v>
      </c>
      <c r="I476" s="16" t="n">
        <v>1</v>
      </c>
      <c r="J476" s="13" t="n">
        <v>110</v>
      </c>
      <c r="K476" s="15" t="n">
        <v>4.706518452390792</v>
      </c>
      <c r="L476" s="15" t="n">
        <v>0</v>
      </c>
    </row>
    <row r="477">
      <c r="A477" s="12" t="n">
        <v>16</v>
      </c>
      <c r="B477" s="12" t="n">
        <v>26</v>
      </c>
      <c r="C477" s="12" t="n">
        <v>16</v>
      </c>
      <c r="D477" s="12" t="n">
        <v>1</v>
      </c>
      <c r="E477" s="12" t="inlineStr">
        <is>
          <t>Focused (FA)</t>
        </is>
      </c>
      <c r="F477" s="13" t="n">
        <v>97</v>
      </c>
      <c r="G477" s="14" t="n">
        <v>1</v>
      </c>
      <c r="H477" s="15" t="n">
        <v>0.9859375298339375</v>
      </c>
      <c r="I477" s="16" t="n">
        <v>1</v>
      </c>
      <c r="J477" s="13" t="n">
        <v>97</v>
      </c>
      <c r="K477" s="15" t="n">
        <v>0.5127187641022652</v>
      </c>
      <c r="L477" s="15" t="n">
        <v>0</v>
      </c>
    </row>
    <row r="478">
      <c r="A478" s="12" t="n">
        <v>16</v>
      </c>
      <c r="B478" s="12" t="n">
        <v>27</v>
      </c>
      <c r="C478" s="12" t="n">
        <v>16</v>
      </c>
      <c r="D478" s="12" t="n">
        <v>1</v>
      </c>
      <c r="E478" s="12" t="inlineStr">
        <is>
          <t>Focused (FA)</t>
        </is>
      </c>
      <c r="F478" s="13" t="n">
        <v>137</v>
      </c>
      <c r="G478" s="14" t="n">
        <v>1</v>
      </c>
      <c r="H478" s="15" t="n">
        <v>0.6704454315652015</v>
      </c>
      <c r="I478" s="16" t="n">
        <v>1</v>
      </c>
      <c r="J478" s="13" t="n">
        <v>137</v>
      </c>
      <c r="K478" s="15" t="n">
        <v>0.653700809594709</v>
      </c>
      <c r="L478" s="15" t="n">
        <v>0</v>
      </c>
    </row>
    <row r="479">
      <c r="A479" s="12" t="n">
        <v>16</v>
      </c>
      <c r="B479" s="12" t="n">
        <v>28</v>
      </c>
      <c r="C479" s="12" t="n">
        <v>16</v>
      </c>
      <c r="D479" s="12" t="n">
        <v>1</v>
      </c>
      <c r="E479" s="12" t="inlineStr">
        <is>
          <t>Focused (FA)</t>
        </is>
      </c>
      <c r="F479" s="13" t="n">
        <v>31</v>
      </c>
      <c r="G479" s="14" t="n">
        <v>1</v>
      </c>
      <c r="H479" s="15" t="n">
        <v>1.105429553527696</v>
      </c>
      <c r="I479" s="16" t="n">
        <v>1</v>
      </c>
      <c r="J479" s="13" t="n">
        <v>31</v>
      </c>
      <c r="K479" s="15" t="n">
        <v>0.6593768575429456</v>
      </c>
      <c r="L479" s="15" t="n">
        <v>0</v>
      </c>
    </row>
    <row r="480">
      <c r="A480" s="12" t="n">
        <v>16</v>
      </c>
      <c r="B480" s="12" t="n">
        <v>29</v>
      </c>
      <c r="C480" s="12" t="n">
        <v>16</v>
      </c>
      <c r="D480" s="12" t="n">
        <v>1</v>
      </c>
      <c r="E480" s="12" t="inlineStr">
        <is>
          <t>Focused (FA)</t>
        </is>
      </c>
      <c r="F480" s="13" t="n">
        <v>25</v>
      </c>
      <c r="G480" s="14" t="n">
        <v>1</v>
      </c>
      <c r="H480" s="15" t="n">
        <v>0.8701898765208795</v>
      </c>
      <c r="I480" s="16" t="n">
        <v>1</v>
      </c>
      <c r="J480" s="13" t="n">
        <v>25</v>
      </c>
      <c r="K480" s="15" t="n">
        <v>0.4239900220500222</v>
      </c>
      <c r="L480" s="15" t="n">
        <v>0</v>
      </c>
    </row>
    <row r="481">
      <c r="A481" s="12" t="n">
        <v>16</v>
      </c>
      <c r="B481" s="12" t="n">
        <v>30</v>
      </c>
      <c r="C481" s="12" t="n">
        <v>16</v>
      </c>
      <c r="D481" s="12" t="n">
        <v>1</v>
      </c>
      <c r="E481" s="12" t="inlineStr">
        <is>
          <t>Focused (FA)</t>
        </is>
      </c>
      <c r="F481" s="13" t="n">
        <v>16</v>
      </c>
      <c r="G481" s="14" t="n">
        <v>1</v>
      </c>
      <c r="H481" s="15" t="n">
        <v>1.365546539098364</v>
      </c>
      <c r="I481" s="16" t="n">
        <v>1</v>
      </c>
      <c r="J481" s="13" t="n">
        <v>16</v>
      </c>
      <c r="K481" s="15" t="n">
        <v>0.7170546496952936</v>
      </c>
      <c r="L481" s="15" t="n">
        <v>0</v>
      </c>
    </row>
    <row r="482">
      <c r="A482" s="12" t="n">
        <v>17</v>
      </c>
      <c r="B482" s="12" t="n">
        <v>1</v>
      </c>
      <c r="C482" s="12" t="n">
        <v>16</v>
      </c>
      <c r="D482" s="12" t="n">
        <v>2</v>
      </c>
      <c r="E482" s="12" t="inlineStr">
        <is>
          <t>Focused (FA)</t>
        </is>
      </c>
      <c r="F482" s="13" t="n">
        <v>99</v>
      </c>
      <c r="G482" s="14" t="n">
        <v>1</v>
      </c>
      <c r="H482" s="15" t="n">
        <v>2.562183199007574</v>
      </c>
      <c r="I482" s="16" t="n">
        <v>2</v>
      </c>
      <c r="J482" s="13" t="n">
        <v>30</v>
      </c>
      <c r="K482" s="15" t="n">
        <v>2.750742600990514</v>
      </c>
      <c r="L482" s="15" t="n">
        <v>0</v>
      </c>
    </row>
    <row r="483">
      <c r="A483" s="12" t="n">
        <v>17</v>
      </c>
      <c r="B483" s="12" t="n">
        <v>2</v>
      </c>
      <c r="C483" s="12" t="n">
        <v>16</v>
      </c>
      <c r="D483" s="12" t="n">
        <v>2</v>
      </c>
      <c r="E483" s="12" t="inlineStr">
        <is>
          <t>Focused (FA)</t>
        </is>
      </c>
      <c r="F483" s="13" t="n">
        <v>129</v>
      </c>
      <c r="G483" s="14" t="n">
        <v>1</v>
      </c>
      <c r="H483" s="15" t="n">
        <v>0.7532025522109332</v>
      </c>
      <c r="I483" s="16" t="n">
        <v>2</v>
      </c>
      <c r="J483" s="13" t="n">
        <v>77</v>
      </c>
      <c r="K483" s="15" t="n">
        <v>0.601865031013155</v>
      </c>
      <c r="L483" s="15" t="n">
        <v>0</v>
      </c>
    </row>
    <row r="484">
      <c r="A484" s="12" t="n">
        <v>17</v>
      </c>
      <c r="B484" s="12" t="n">
        <v>3</v>
      </c>
      <c r="C484" s="12" t="n">
        <v>16</v>
      </c>
      <c r="D484" s="12" t="n">
        <v>2</v>
      </c>
      <c r="E484" s="12" t="inlineStr">
        <is>
          <t>Focused (FA)</t>
        </is>
      </c>
      <c r="F484" s="13" t="n">
        <v>210</v>
      </c>
      <c r="G484" s="14" t="n">
        <v>1</v>
      </c>
      <c r="H484" s="15" t="n">
        <v>0.7035199808783338</v>
      </c>
      <c r="I484" s="16" t="n">
        <v>2</v>
      </c>
      <c r="J484" s="13" t="n">
        <v>170</v>
      </c>
      <c r="K484" s="15" t="n">
        <v>0.6429080973458283</v>
      </c>
      <c r="L484" s="15" t="n">
        <v>0</v>
      </c>
    </row>
    <row r="485">
      <c r="A485" s="12" t="n">
        <v>17</v>
      </c>
      <c r="B485" s="12" t="n">
        <v>4</v>
      </c>
      <c r="C485" s="12" t="n">
        <v>16</v>
      </c>
      <c r="D485" s="12" t="n">
        <v>2</v>
      </c>
      <c r="E485" s="12" t="inlineStr">
        <is>
          <t>Focused (FA)</t>
        </is>
      </c>
      <c r="F485" s="13" t="n">
        <v>112</v>
      </c>
      <c r="G485" s="14" t="n">
        <v>1</v>
      </c>
      <c r="H485" s="15" t="n">
        <v>0.7671675465708724</v>
      </c>
      <c r="I485" s="16" t="n">
        <v>2</v>
      </c>
      <c r="J485" s="13" t="n">
        <v>85</v>
      </c>
      <c r="K485" s="15" t="n">
        <v>0.6884117036892261</v>
      </c>
      <c r="L485" s="15" t="n">
        <v>0</v>
      </c>
    </row>
    <row r="486">
      <c r="A486" s="12" t="n">
        <v>17</v>
      </c>
      <c r="B486" s="12" t="n">
        <v>5</v>
      </c>
      <c r="C486" s="12" t="n">
        <v>16</v>
      </c>
      <c r="D486" s="12" t="n">
        <v>2</v>
      </c>
      <c r="E486" s="12" t="inlineStr">
        <is>
          <t>Focused (FA)</t>
        </is>
      </c>
      <c r="F486" s="13" t="n">
        <v>196</v>
      </c>
      <c r="G486" s="14" t="n">
        <v>1</v>
      </c>
      <c r="H486" s="15" t="n">
        <v>0.7808447425401486</v>
      </c>
      <c r="I486" s="16" t="n">
        <v>2</v>
      </c>
      <c r="J486" s="13" t="n">
        <v>85</v>
      </c>
      <c r="K486" s="15" t="n">
        <v>0.6009756324563769</v>
      </c>
      <c r="L486" s="15" t="n">
        <v>0</v>
      </c>
    </row>
    <row r="487">
      <c r="A487" s="12" t="n">
        <v>17</v>
      </c>
      <c r="B487" s="12" t="n">
        <v>6</v>
      </c>
      <c r="C487" s="12" t="n">
        <v>16</v>
      </c>
      <c r="D487" s="12" t="n">
        <v>2</v>
      </c>
      <c r="E487" s="12" t="inlineStr">
        <is>
          <t>Focused (FA)</t>
        </is>
      </c>
      <c r="F487" s="13" t="n">
        <v>165</v>
      </c>
      <c r="G487" s="14" t="n">
        <v>1</v>
      </c>
      <c r="H487" s="15" t="n">
        <v>0.6778172909163379</v>
      </c>
      <c r="I487" s="16" t="n">
        <v>2</v>
      </c>
      <c r="J487" s="13" t="n">
        <v>124</v>
      </c>
      <c r="K487" s="15" t="n">
        <v>0.5465408378815201</v>
      </c>
      <c r="L487" s="15" t="n">
        <v>0</v>
      </c>
    </row>
    <row r="488">
      <c r="A488" s="12" t="n">
        <v>17</v>
      </c>
      <c r="B488" s="12" t="n">
        <v>7</v>
      </c>
      <c r="C488" s="12" t="n">
        <v>16</v>
      </c>
      <c r="D488" s="12" t="n">
        <v>2</v>
      </c>
      <c r="E488" s="12" t="inlineStr">
        <is>
          <t>Focused (FA)</t>
        </is>
      </c>
      <c r="F488" s="13" t="n">
        <v>102</v>
      </c>
      <c r="G488" s="14" t="n">
        <v>1</v>
      </c>
      <c r="H488" s="15" t="n">
        <v>0.8812762805669274</v>
      </c>
      <c r="I488" s="16" t="n">
        <v>2</v>
      </c>
      <c r="J488" s="13" t="n">
        <v>67</v>
      </c>
      <c r="K488" s="15" t="n">
        <v>0.6168055438795368</v>
      </c>
      <c r="L488" s="15" t="n">
        <v>0</v>
      </c>
    </row>
    <row r="489">
      <c r="A489" s="12" t="n">
        <v>17</v>
      </c>
      <c r="B489" s="12" t="n">
        <v>8</v>
      </c>
      <c r="C489" s="12" t="n">
        <v>16</v>
      </c>
      <c r="D489" s="12" t="n">
        <v>2</v>
      </c>
      <c r="E489" s="12" t="inlineStr">
        <is>
          <t>Focused (FA)</t>
        </is>
      </c>
      <c r="F489" s="13" t="n">
        <v>332</v>
      </c>
      <c r="G489" s="14" t="n">
        <v>1</v>
      </c>
      <c r="H489" s="15" t="n">
        <v>0.8714006759091231</v>
      </c>
      <c r="I489" s="16" t="n">
        <v>2</v>
      </c>
      <c r="J489" s="13" t="n">
        <v>125</v>
      </c>
      <c r="K489" s="15" t="n">
        <v>0.6309375393527943</v>
      </c>
      <c r="L489" s="15" t="n">
        <v>0</v>
      </c>
    </row>
    <row r="490">
      <c r="A490" s="12" t="n">
        <v>17</v>
      </c>
      <c r="B490" s="12" t="n">
        <v>9</v>
      </c>
      <c r="C490" s="12" t="n">
        <v>16</v>
      </c>
      <c r="D490" s="12" t="n">
        <v>2</v>
      </c>
      <c r="E490" s="12" t="inlineStr">
        <is>
          <t>Focused (FA)</t>
        </is>
      </c>
      <c r="F490" s="13" t="n">
        <v>357</v>
      </c>
      <c r="G490" s="14" t="n">
        <v>1</v>
      </c>
      <c r="H490" s="15" t="n">
        <v>0.6808917182900062</v>
      </c>
      <c r="I490" s="16" t="n">
        <v>2</v>
      </c>
      <c r="J490" s="13" t="n">
        <v>313</v>
      </c>
      <c r="K490" s="15" t="n">
        <v>0.5887481393646046</v>
      </c>
      <c r="L490" s="15" t="n">
        <v>0</v>
      </c>
    </row>
    <row r="491">
      <c r="A491" s="12" t="n">
        <v>17</v>
      </c>
      <c r="B491" s="12" t="n">
        <v>10</v>
      </c>
      <c r="C491" s="12" t="n">
        <v>16</v>
      </c>
      <c r="D491" s="12" t="n">
        <v>2</v>
      </c>
      <c r="E491" s="12" t="inlineStr">
        <is>
          <t>Focused (FA)</t>
        </is>
      </c>
      <c r="F491" s="13" t="n">
        <v>143</v>
      </c>
      <c r="G491" s="14" t="n">
        <v>1</v>
      </c>
      <c r="H491" s="15" t="n">
        <v>2.007595794628652</v>
      </c>
      <c r="I491" s="16" t="n">
        <v>2</v>
      </c>
      <c r="J491" s="13" t="n">
        <v>57</v>
      </c>
      <c r="K491" s="15" t="n">
        <v>1.676063766070371</v>
      </c>
      <c r="L491" s="15" t="n">
        <v>0</v>
      </c>
    </row>
    <row r="492">
      <c r="A492" s="12" t="n">
        <v>17</v>
      </c>
      <c r="B492" s="12" t="n">
        <v>11</v>
      </c>
      <c r="C492" s="12" t="n">
        <v>16</v>
      </c>
      <c r="D492" s="12" t="n">
        <v>2</v>
      </c>
      <c r="E492" s="12" t="inlineStr">
        <is>
          <t>Focused (FA)</t>
        </is>
      </c>
      <c r="F492" s="13" t="n">
        <v>94</v>
      </c>
      <c r="G492" s="14" t="n">
        <v>1</v>
      </c>
      <c r="H492" s="15" t="n">
        <v>0.813632717706171</v>
      </c>
      <c r="I492" s="16" t="n">
        <v>2</v>
      </c>
      <c r="J492" s="13" t="n">
        <v>54</v>
      </c>
      <c r="K492" s="15" t="n">
        <v>0.4961794566631546</v>
      </c>
      <c r="L492" s="15" t="n">
        <v>0</v>
      </c>
    </row>
    <row r="493">
      <c r="A493" s="12" t="n">
        <v>17</v>
      </c>
      <c r="B493" s="12" t="n">
        <v>12</v>
      </c>
      <c r="C493" s="12" t="n">
        <v>16</v>
      </c>
      <c r="D493" s="12" t="n">
        <v>2</v>
      </c>
      <c r="E493" s="12" t="inlineStr">
        <is>
          <t>Focused (FA)</t>
        </is>
      </c>
      <c r="F493" s="13" t="n">
        <v>183</v>
      </c>
      <c r="G493" s="14" t="n">
        <v>1</v>
      </c>
      <c r="H493" s="15" t="n">
        <v>1.00256185964951</v>
      </c>
      <c r="I493" s="16" t="n">
        <v>2</v>
      </c>
      <c r="J493" s="13" t="n">
        <v>154</v>
      </c>
      <c r="K493" s="15" t="n">
        <v>0.6309347287445382</v>
      </c>
      <c r="L493" s="15" t="n">
        <v>0</v>
      </c>
    </row>
    <row r="494">
      <c r="A494" s="12" t="n">
        <v>17</v>
      </c>
      <c r="B494" s="12" t="n">
        <v>13</v>
      </c>
      <c r="C494" s="12" t="n">
        <v>16</v>
      </c>
      <c r="D494" s="12" t="n">
        <v>2</v>
      </c>
      <c r="E494" s="12" t="inlineStr">
        <is>
          <t>Focused (FA)</t>
        </is>
      </c>
      <c r="F494" s="13" t="n">
        <v>136</v>
      </c>
      <c r="G494" s="14" t="n">
        <v>1</v>
      </c>
      <c r="H494" s="15" t="n">
        <v>0.69739849322693</v>
      </c>
      <c r="I494" s="16" t="n">
        <v>2</v>
      </c>
      <c r="J494" s="13" t="n">
        <v>104</v>
      </c>
      <c r="K494" s="15" t="n">
        <v>0.5753970062909164</v>
      </c>
      <c r="L494" s="15" t="n">
        <v>0</v>
      </c>
    </row>
    <row r="495">
      <c r="A495" s="12" t="n">
        <v>17</v>
      </c>
      <c r="B495" s="12" t="n">
        <v>14</v>
      </c>
      <c r="C495" s="12" t="n">
        <v>16</v>
      </c>
      <c r="D495" s="12" t="n">
        <v>2</v>
      </c>
      <c r="E495" s="12" t="inlineStr">
        <is>
          <t>Focused (FA)</t>
        </is>
      </c>
      <c r="F495" s="13" t="n">
        <v>96</v>
      </c>
      <c r="G495" s="14" t="n">
        <v>1</v>
      </c>
      <c r="H495" s="15" t="n">
        <v>0.7325600493776865</v>
      </c>
      <c r="I495" s="16" t="n">
        <v>2</v>
      </c>
      <c r="J495" s="13" t="n">
        <v>57</v>
      </c>
      <c r="K495" s="15" t="n">
        <v>0.5616970141970872</v>
      </c>
      <c r="L495" s="15" t="n">
        <v>0</v>
      </c>
    </row>
    <row r="496">
      <c r="A496" s="12" t="n">
        <v>17</v>
      </c>
      <c r="B496" s="12" t="n">
        <v>15</v>
      </c>
      <c r="C496" s="12" t="n">
        <v>16</v>
      </c>
      <c r="D496" s="12" t="n">
        <v>2</v>
      </c>
      <c r="E496" s="12" t="inlineStr">
        <is>
          <t>Focused (FA)</t>
        </is>
      </c>
      <c r="F496" s="13" t="n">
        <v>152</v>
      </c>
      <c r="G496" s="14" t="n">
        <v>1</v>
      </c>
      <c r="H496" s="15" t="n">
        <v>0.7243336960382123</v>
      </c>
      <c r="I496" s="16" t="n">
        <v>2</v>
      </c>
      <c r="J496" s="13" t="n">
        <v>53</v>
      </c>
      <c r="K496" s="15" t="n">
        <v>0.498951279093014</v>
      </c>
      <c r="L496" s="15" t="n">
        <v>0</v>
      </c>
    </row>
    <row r="497">
      <c r="A497" s="12" t="n">
        <v>17</v>
      </c>
      <c r="B497" s="12" t="n">
        <v>16</v>
      </c>
      <c r="C497" s="12" t="n">
        <v>16</v>
      </c>
      <c r="D497" s="12" t="n">
        <v>2</v>
      </c>
      <c r="E497" s="12" t="inlineStr">
        <is>
          <t>Focused (FA)</t>
        </is>
      </c>
      <c r="F497" s="13" t="n">
        <v>402</v>
      </c>
      <c r="G497" s="14" t="n">
        <v>1</v>
      </c>
      <c r="H497" s="15" t="n">
        <v>0.6879985399616338</v>
      </c>
      <c r="I497" s="16" t="n">
        <v>2</v>
      </c>
      <c r="J497" s="13" t="n">
        <v>108</v>
      </c>
      <c r="K497" s="15" t="n">
        <v>0.6347284364943111</v>
      </c>
      <c r="L497" s="15" t="n">
        <v>0</v>
      </c>
    </row>
    <row r="498">
      <c r="A498" s="12" t="n">
        <v>17</v>
      </c>
      <c r="B498" s="12" t="n">
        <v>17</v>
      </c>
      <c r="C498" s="12" t="n">
        <v>16</v>
      </c>
      <c r="D498" s="12" t="n">
        <v>2</v>
      </c>
      <c r="E498" s="12" t="inlineStr">
        <is>
          <t>Focused (FA)</t>
        </is>
      </c>
      <c r="F498" s="13" t="n">
        <v>375</v>
      </c>
      <c r="G498" s="14" t="n">
        <v>1</v>
      </c>
      <c r="H498" s="15" t="n">
        <v>0.7007363456662296</v>
      </c>
      <c r="I498" s="16" t="n">
        <v>2</v>
      </c>
      <c r="J498" s="13" t="n">
        <v>105</v>
      </c>
      <c r="K498" s="15" t="n">
        <v>0.6763227403309815</v>
      </c>
      <c r="L498" s="15" t="n">
        <v>0</v>
      </c>
    </row>
    <row r="499">
      <c r="A499" s="12" t="n">
        <v>17</v>
      </c>
      <c r="B499" s="12" t="n">
        <v>18</v>
      </c>
      <c r="C499" s="12" t="n">
        <v>16</v>
      </c>
      <c r="D499" s="12" t="n">
        <v>2</v>
      </c>
      <c r="E499" s="12" t="inlineStr">
        <is>
          <t>Focused (FA)</t>
        </is>
      </c>
      <c r="F499" s="13" t="n">
        <v>242</v>
      </c>
      <c r="G499" s="14" t="n">
        <v>1</v>
      </c>
      <c r="H499" s="15" t="n">
        <v>0.9521975959971232</v>
      </c>
      <c r="I499" s="16" t="n">
        <v>2</v>
      </c>
      <c r="J499" s="13" t="n">
        <v>193</v>
      </c>
      <c r="K499" s="15" t="n">
        <v>0.7937894130346078</v>
      </c>
      <c r="L499" s="15" t="n">
        <v>0</v>
      </c>
    </row>
    <row r="500">
      <c r="A500" s="12" t="n">
        <v>17</v>
      </c>
      <c r="B500" s="12" t="n">
        <v>19</v>
      </c>
      <c r="C500" s="12" t="n">
        <v>16</v>
      </c>
      <c r="D500" s="12" t="n">
        <v>2</v>
      </c>
      <c r="E500" s="12" t="inlineStr">
        <is>
          <t>Focused (FA)</t>
        </is>
      </c>
      <c r="F500" s="13" t="n">
        <v>392</v>
      </c>
      <c r="G500" s="14" t="n">
        <v>1</v>
      </c>
      <c r="H500" s="15" t="n">
        <v>0.7643735463091438</v>
      </c>
      <c r="I500" s="16" t="n">
        <v>2</v>
      </c>
      <c r="J500" s="13" t="n">
        <v>353</v>
      </c>
      <c r="K500" s="15" t="n">
        <v>0.6124070477538845</v>
      </c>
      <c r="L500" s="15" t="n">
        <v>0</v>
      </c>
    </row>
    <row r="501">
      <c r="A501" s="12" t="n">
        <v>17</v>
      </c>
      <c r="B501" s="12" t="n">
        <v>20</v>
      </c>
      <c r="C501" s="12" t="n">
        <v>16</v>
      </c>
      <c r="D501" s="12" t="n">
        <v>2</v>
      </c>
      <c r="E501" s="12" t="inlineStr">
        <is>
          <t>Focused (FA)</t>
        </is>
      </c>
      <c r="F501" s="13" t="n">
        <v>199</v>
      </c>
      <c r="G501" s="14" t="n">
        <v>1</v>
      </c>
      <c r="H501" s="15" t="n">
        <v>0.6955657523364613</v>
      </c>
      <c r="I501" s="16" t="n">
        <v>2</v>
      </c>
      <c r="J501" s="13" t="n">
        <v>59</v>
      </c>
      <c r="K501" s="15" t="n">
        <v>0.5034029901600979</v>
      </c>
      <c r="L501" s="15" t="n">
        <v>0</v>
      </c>
    </row>
    <row r="502">
      <c r="A502" s="12" t="n">
        <v>17</v>
      </c>
      <c r="B502" s="12" t="n">
        <v>21</v>
      </c>
      <c r="C502" s="12" t="n">
        <v>16</v>
      </c>
      <c r="D502" s="12" t="n">
        <v>2</v>
      </c>
      <c r="E502" s="12" t="inlineStr">
        <is>
          <t>Focused (FA)</t>
        </is>
      </c>
      <c r="F502" s="13" t="n">
        <v>31</v>
      </c>
      <c r="G502" s="14" t="n">
        <v>1</v>
      </c>
      <c r="H502" s="15" t="n">
        <v>1.706966782470456</v>
      </c>
      <c r="I502" s="16" t="n">
        <v>2</v>
      </c>
      <c r="J502" s="13" t="n">
        <v>18</v>
      </c>
      <c r="K502" s="15" t="n">
        <v>1.710808839502487</v>
      </c>
      <c r="L502" s="15" t="n">
        <v>0</v>
      </c>
    </row>
    <row r="503">
      <c r="A503" s="12" t="n">
        <v>17</v>
      </c>
      <c r="B503" s="12" t="n">
        <v>22</v>
      </c>
      <c r="C503" s="12" t="n">
        <v>16</v>
      </c>
      <c r="D503" s="12" t="n">
        <v>2</v>
      </c>
      <c r="E503" s="12" t="inlineStr">
        <is>
          <t>Focused (FA)</t>
        </is>
      </c>
      <c r="F503" s="13" t="n">
        <v>189</v>
      </c>
      <c r="G503" s="14" t="n">
        <v>1</v>
      </c>
      <c r="H503" s="15" t="n">
        <v>0.9311943458869008</v>
      </c>
      <c r="I503" s="16" t="n">
        <v>2</v>
      </c>
      <c r="J503" s="13" t="n">
        <v>90</v>
      </c>
      <c r="K503" s="15" t="n">
        <v>0.8581432864889753</v>
      </c>
      <c r="L503" s="15" t="n">
        <v>0</v>
      </c>
    </row>
    <row r="504">
      <c r="A504" s="12" t="n">
        <v>17</v>
      </c>
      <c r="B504" s="12" t="n">
        <v>23</v>
      </c>
      <c r="C504" s="12" t="n">
        <v>16</v>
      </c>
      <c r="D504" s="12" t="n">
        <v>2</v>
      </c>
      <c r="E504" s="12" t="inlineStr">
        <is>
          <t>Focused (FA)</t>
        </is>
      </c>
      <c r="F504" s="13" t="n">
        <v>128</v>
      </c>
      <c r="G504" s="14" t="n">
        <v>1</v>
      </c>
      <c r="H504" s="15" t="n">
        <v>1.659979459434237</v>
      </c>
      <c r="I504" s="16" t="n">
        <v>2</v>
      </c>
      <c r="J504" s="13" t="n">
        <v>44</v>
      </c>
      <c r="K504" s="15" t="n">
        <v>0.6466030656363743</v>
      </c>
      <c r="L504" s="15" t="n">
        <v>0</v>
      </c>
    </row>
    <row r="505">
      <c r="A505" s="12" t="n">
        <v>17</v>
      </c>
      <c r="B505" s="12" t="n">
        <v>24</v>
      </c>
      <c r="C505" s="12" t="n">
        <v>16</v>
      </c>
      <c r="D505" s="12" t="n">
        <v>2</v>
      </c>
      <c r="E505" s="12" t="inlineStr">
        <is>
          <t>Focused (FA)</t>
        </is>
      </c>
      <c r="F505" s="13" t="n">
        <v>126</v>
      </c>
      <c r="G505" s="14" t="n">
        <v>1</v>
      </c>
      <c r="H505" s="15" t="n">
        <v>0.78115426360102</v>
      </c>
      <c r="I505" s="16" t="n">
        <v>2</v>
      </c>
      <c r="J505" s="13" t="n">
        <v>96</v>
      </c>
      <c r="K505" s="15" t="n">
        <v>0.7666530052951117</v>
      </c>
      <c r="L505" s="15" t="n">
        <v>0</v>
      </c>
    </row>
    <row r="506">
      <c r="A506" s="12" t="n">
        <v>17</v>
      </c>
      <c r="B506" s="12" t="n">
        <v>25</v>
      </c>
      <c r="C506" s="12" t="n">
        <v>16</v>
      </c>
      <c r="D506" s="12" t="n">
        <v>2</v>
      </c>
      <c r="E506" s="12" t="inlineStr">
        <is>
          <t>Focused (FA)</t>
        </is>
      </c>
      <c r="F506" s="13" t="n">
        <v>335</v>
      </c>
      <c r="G506" s="14" t="n">
        <v>1</v>
      </c>
      <c r="H506" s="15" t="n">
        <v>1.004268593760454</v>
      </c>
      <c r="I506" s="16" t="n">
        <v>2</v>
      </c>
      <c r="J506" s="13" t="n">
        <v>204</v>
      </c>
      <c r="K506" s="15" t="n">
        <v>0.511569892942539</v>
      </c>
      <c r="L506" s="15" t="n">
        <v>0</v>
      </c>
    </row>
    <row r="507">
      <c r="A507" s="12" t="n">
        <v>17</v>
      </c>
      <c r="B507" s="12" t="n">
        <v>26</v>
      </c>
      <c r="C507" s="12" t="n">
        <v>16</v>
      </c>
      <c r="D507" s="12" t="n">
        <v>2</v>
      </c>
      <c r="E507" s="12" t="inlineStr">
        <is>
          <t>Focused (FA)</t>
        </is>
      </c>
      <c r="F507" s="13" t="n">
        <v>93</v>
      </c>
      <c r="G507" s="14" t="n">
        <v>1</v>
      </c>
      <c r="H507" s="15" t="n">
        <v>1.110223406739723</v>
      </c>
      <c r="I507" s="16" t="n">
        <v>2</v>
      </c>
      <c r="J507" s="13" t="n">
        <v>21</v>
      </c>
      <c r="K507" s="15" t="n">
        <v>0.6513974583595141</v>
      </c>
      <c r="L507" s="15" t="n">
        <v>0</v>
      </c>
    </row>
    <row r="508">
      <c r="A508" s="12" t="n">
        <v>17</v>
      </c>
      <c r="B508" s="12" t="n">
        <v>27</v>
      </c>
      <c r="C508" s="12" t="n">
        <v>16</v>
      </c>
      <c r="D508" s="12" t="n">
        <v>2</v>
      </c>
      <c r="E508" s="12" t="inlineStr">
        <is>
          <t>Focused (FA)</t>
        </is>
      </c>
      <c r="F508" s="13" t="n">
        <v>122</v>
      </c>
      <c r="G508" s="14" t="n">
        <v>1</v>
      </c>
      <c r="H508" s="15" t="n">
        <v>0.7318905900189946</v>
      </c>
      <c r="I508" s="16" t="n">
        <v>2</v>
      </c>
      <c r="J508" s="13" t="n">
        <v>58</v>
      </c>
      <c r="K508" s="15" t="n">
        <v>0.6239286946649543</v>
      </c>
      <c r="L508" s="15" t="n">
        <v>0</v>
      </c>
    </row>
    <row r="509">
      <c r="A509" s="12" t="n">
        <v>17</v>
      </c>
      <c r="B509" s="12" t="n">
        <v>28</v>
      </c>
      <c r="C509" s="12" t="n">
        <v>16</v>
      </c>
      <c r="D509" s="12" t="n">
        <v>2</v>
      </c>
      <c r="E509" s="12" t="inlineStr">
        <is>
          <t>Focused (FA)</t>
        </is>
      </c>
      <c r="F509" s="13" t="n">
        <v>93</v>
      </c>
      <c r="G509" s="14" t="n">
        <v>1</v>
      </c>
      <c r="H509" s="15" t="n">
        <v>0.8076862858998913</v>
      </c>
      <c r="I509" s="16" t="n">
        <v>2</v>
      </c>
      <c r="J509" s="13" t="n">
        <v>64</v>
      </c>
      <c r="K509" s="15" t="n">
        <v>0.6537503774902351</v>
      </c>
      <c r="L509" s="15" t="n">
        <v>0</v>
      </c>
    </row>
    <row r="510">
      <c r="A510" s="12" t="n">
        <v>17</v>
      </c>
      <c r="B510" s="12" t="n">
        <v>29</v>
      </c>
      <c r="C510" s="12" t="n">
        <v>16</v>
      </c>
      <c r="D510" s="12" t="n">
        <v>2</v>
      </c>
      <c r="E510" s="12" t="inlineStr">
        <is>
          <t>Focused (FA)</t>
        </is>
      </c>
      <c r="F510" s="13" t="n">
        <v>182</v>
      </c>
      <c r="G510" s="14" t="n">
        <v>1</v>
      </c>
      <c r="H510" s="15" t="n">
        <v>0.7025238912356004</v>
      </c>
      <c r="I510" s="16" t="n">
        <v>2</v>
      </c>
      <c r="J510" s="13" t="n">
        <v>159</v>
      </c>
      <c r="K510" s="15" t="n">
        <v>0.5505955360433494</v>
      </c>
      <c r="L510" s="15" t="n">
        <v>0</v>
      </c>
    </row>
    <row r="511">
      <c r="A511" s="12" t="n">
        <v>17</v>
      </c>
      <c r="B511" s="12" t="n">
        <v>30</v>
      </c>
      <c r="C511" s="12" t="n">
        <v>16</v>
      </c>
      <c r="D511" s="12" t="n">
        <v>2</v>
      </c>
      <c r="E511" s="12" t="inlineStr">
        <is>
          <t>Focused (FA)</t>
        </is>
      </c>
      <c r="F511" s="13" t="n">
        <v>192</v>
      </c>
      <c r="G511" s="14" t="n">
        <v>1</v>
      </c>
      <c r="H511" s="15" t="n">
        <v>0.7054709371035329</v>
      </c>
      <c r="I511" s="16" t="n">
        <v>2</v>
      </c>
      <c r="J511" s="13" t="n">
        <v>71</v>
      </c>
      <c r="K511" s="15" t="n">
        <v>0.5586091435543421</v>
      </c>
      <c r="L511" s="15" t="n">
        <v>0</v>
      </c>
    </row>
    <row r="512">
      <c r="A512" s="12" t="n">
        <v>18</v>
      </c>
      <c r="B512" s="12" t="n">
        <v>1</v>
      </c>
      <c r="C512" s="12" t="n">
        <v>16</v>
      </c>
      <c r="D512" s="12" t="n">
        <v>3</v>
      </c>
      <c r="E512" s="12" t="inlineStr">
        <is>
          <t>Focused (FA)</t>
        </is>
      </c>
      <c r="F512" s="13" t="n">
        <v>339</v>
      </c>
      <c r="G512" s="14" t="n">
        <v>1</v>
      </c>
      <c r="H512" s="15" t="n">
        <v>0.8871563027088762</v>
      </c>
      <c r="I512" s="16" t="n">
        <v>3</v>
      </c>
      <c r="J512" s="13" t="n">
        <v>96.5</v>
      </c>
      <c r="K512" s="15" t="n">
        <v>0.8892300747732866</v>
      </c>
      <c r="L512" s="15" t="n">
        <v>0</v>
      </c>
    </row>
    <row r="513">
      <c r="A513" s="12" t="n">
        <v>18</v>
      </c>
      <c r="B513" s="12" t="n">
        <v>2</v>
      </c>
      <c r="C513" s="12" t="n">
        <v>16</v>
      </c>
      <c r="D513" s="12" t="n">
        <v>3</v>
      </c>
      <c r="E513" s="12" t="inlineStr">
        <is>
          <t>Focused (FA)</t>
        </is>
      </c>
      <c r="F513" s="13" t="n">
        <v>582</v>
      </c>
      <c r="G513" s="14" t="n">
        <v>1</v>
      </c>
      <c r="H513" s="15" t="n">
        <v>0.6581016954452561</v>
      </c>
      <c r="I513" s="16" t="n">
        <v>3</v>
      </c>
      <c r="J513" s="13" t="n">
        <v>192</v>
      </c>
      <c r="K513" s="15" t="n">
        <v>0.573707704704376</v>
      </c>
      <c r="L513" s="15" t="n">
        <v>0</v>
      </c>
    </row>
    <row r="514">
      <c r="A514" s="12" t="n">
        <v>18</v>
      </c>
      <c r="B514" s="12" t="n">
        <v>3</v>
      </c>
      <c r="C514" s="12" t="n">
        <v>16</v>
      </c>
      <c r="D514" s="12" t="n">
        <v>3</v>
      </c>
      <c r="E514" s="12" t="inlineStr">
        <is>
          <t>Focused (FA)</t>
        </is>
      </c>
      <c r="F514" s="13" t="n">
        <v>201</v>
      </c>
      <c r="G514" s="14" t="n">
        <v>1</v>
      </c>
      <c r="H514" s="15" t="n">
        <v>0.661394194414005</v>
      </c>
      <c r="I514" s="16" t="n">
        <v>3</v>
      </c>
      <c r="J514" s="13" t="n">
        <v>60</v>
      </c>
      <c r="K514" s="15" t="n">
        <v>0.5531142634653788</v>
      </c>
      <c r="L514" s="15" t="n">
        <v>0</v>
      </c>
    </row>
    <row r="515">
      <c r="A515" s="12" t="n">
        <v>18</v>
      </c>
      <c r="B515" s="12" t="n">
        <v>4</v>
      </c>
      <c r="C515" s="12" t="n">
        <v>16</v>
      </c>
      <c r="D515" s="12" t="n">
        <v>3</v>
      </c>
      <c r="E515" s="12" t="inlineStr">
        <is>
          <t>Focused (FA)</t>
        </is>
      </c>
      <c r="F515" s="13" t="n">
        <v>188</v>
      </c>
      <c r="G515" s="14" t="n">
        <v>1</v>
      </c>
      <c r="H515" s="15" t="n">
        <v>0.6976035710863964</v>
      </c>
      <c r="I515" s="16" t="n">
        <v>3</v>
      </c>
      <c r="J515" s="13" t="n">
        <v>82</v>
      </c>
      <c r="K515" s="15" t="n">
        <v>0.6012744209259289</v>
      </c>
      <c r="L515" s="15" t="n">
        <v>0</v>
      </c>
    </row>
    <row r="516">
      <c r="A516" s="12" t="n">
        <v>18</v>
      </c>
      <c r="B516" s="12" t="n">
        <v>5</v>
      </c>
      <c r="C516" s="12" t="n">
        <v>16</v>
      </c>
      <c r="D516" s="12" t="n">
        <v>3</v>
      </c>
      <c r="E516" s="12" t="inlineStr">
        <is>
          <t>Focused (FA)</t>
        </is>
      </c>
      <c r="F516" s="13" t="n">
        <v>210</v>
      </c>
      <c r="G516" s="14" t="n">
        <v>1</v>
      </c>
      <c r="H516" s="15" t="n">
        <v>0.7483600813240703</v>
      </c>
      <c r="I516" s="16" t="n">
        <v>3</v>
      </c>
      <c r="J516" s="13" t="n">
        <v>49.5</v>
      </c>
      <c r="K516" s="15" t="n">
        <v>0.5751785598721443</v>
      </c>
      <c r="L516" s="15" t="n">
        <v>0</v>
      </c>
    </row>
    <row r="517">
      <c r="A517" s="12" t="n">
        <v>18</v>
      </c>
      <c r="B517" s="12" t="n">
        <v>6</v>
      </c>
      <c r="C517" s="12" t="n">
        <v>16</v>
      </c>
      <c r="D517" s="12" t="n">
        <v>3</v>
      </c>
      <c r="E517" s="12" t="inlineStr">
        <is>
          <t>Focused (FA)</t>
        </is>
      </c>
      <c r="F517" s="13" t="n">
        <v>117</v>
      </c>
      <c r="G517" s="14" t="n">
        <v>1</v>
      </c>
      <c r="H517" s="15" t="n">
        <v>0.6422464512493887</v>
      </c>
      <c r="I517" s="16" t="n">
        <v>3</v>
      </c>
      <c r="J517" s="13" t="n">
        <v>41.5</v>
      </c>
      <c r="K517" s="15" t="n">
        <v>0.5400540027912668</v>
      </c>
      <c r="L517" s="15" t="n">
        <v>0</v>
      </c>
    </row>
    <row r="518">
      <c r="A518" s="12" t="n">
        <v>18</v>
      </c>
      <c r="B518" s="12" t="n">
        <v>7</v>
      </c>
      <c r="C518" s="12" t="n">
        <v>16</v>
      </c>
      <c r="D518" s="12" t="n">
        <v>3</v>
      </c>
      <c r="E518" s="12" t="inlineStr">
        <is>
          <t>Focused (FA)</t>
        </is>
      </c>
      <c r="F518" s="13" t="n">
        <v>290</v>
      </c>
      <c r="G518" s="14" t="n">
        <v>1</v>
      </c>
      <c r="H518" s="15" t="n">
        <v>1.401699158076037</v>
      </c>
      <c r="I518" s="16" t="n">
        <v>3</v>
      </c>
      <c r="J518" s="13" t="n">
        <v>120.5</v>
      </c>
      <c r="K518" s="15" t="n">
        <v>2.137839853673217</v>
      </c>
      <c r="L518" s="15" t="n">
        <v>0</v>
      </c>
    </row>
    <row r="519">
      <c r="A519" s="12" t="n">
        <v>18</v>
      </c>
      <c r="B519" s="12" t="n">
        <v>8</v>
      </c>
      <c r="C519" s="12" t="n">
        <v>16</v>
      </c>
      <c r="D519" s="12" t="n">
        <v>3</v>
      </c>
      <c r="E519" s="12" t="inlineStr">
        <is>
          <t>Focused (FA)</t>
        </is>
      </c>
      <c r="F519" s="13" t="n">
        <v>323</v>
      </c>
      <c r="G519" s="14" t="n">
        <v>1</v>
      </c>
      <c r="H519" s="15" t="n">
        <v>0.8879241294319787</v>
      </c>
      <c r="I519" s="16" t="n">
        <v>3</v>
      </c>
      <c r="J519" s="13" t="n">
        <v>119.5</v>
      </c>
      <c r="K519" s="15" t="n">
        <v>0.7719326151772928</v>
      </c>
      <c r="L519" s="15" t="n">
        <v>0</v>
      </c>
    </row>
    <row r="520">
      <c r="A520" s="12" t="n">
        <v>18</v>
      </c>
      <c r="B520" s="12" t="n">
        <v>9</v>
      </c>
      <c r="C520" s="12" t="n">
        <v>16</v>
      </c>
      <c r="D520" s="12" t="n">
        <v>3</v>
      </c>
      <c r="E520" s="12" t="inlineStr">
        <is>
          <t>Focused (FA)</t>
        </is>
      </c>
      <c r="F520" s="13" t="n">
        <v>424</v>
      </c>
      <c r="G520" s="14" t="n">
        <v>1</v>
      </c>
      <c r="H520" s="15" t="n">
        <v>0.6610873825831027</v>
      </c>
      <c r="I520" s="16" t="n">
        <v>3</v>
      </c>
      <c r="J520" s="13" t="n">
        <v>150.5</v>
      </c>
      <c r="K520" s="15" t="n">
        <v>0.594032198840598</v>
      </c>
      <c r="L520" s="15" t="n">
        <v>0</v>
      </c>
    </row>
    <row r="521">
      <c r="A521" s="12" t="n">
        <v>18</v>
      </c>
      <c r="B521" s="12" t="n">
        <v>10</v>
      </c>
      <c r="C521" s="12" t="n">
        <v>16</v>
      </c>
      <c r="D521" s="12" t="n">
        <v>3</v>
      </c>
      <c r="E521" s="12" t="inlineStr">
        <is>
          <t>Focused (FA)</t>
        </is>
      </c>
      <c r="F521" s="13" t="n">
        <v>233</v>
      </c>
      <c r="G521" s="14" t="n">
        <v>1</v>
      </c>
      <c r="H521" s="15" t="n">
        <v>1.188924084588763</v>
      </c>
      <c r="I521" s="16" t="n">
        <v>3</v>
      </c>
      <c r="J521" s="13" t="n">
        <v>76.5</v>
      </c>
      <c r="K521" s="15" t="n">
        <v>0.7851925244790582</v>
      </c>
      <c r="L521" s="15" t="n">
        <v>0</v>
      </c>
    </row>
    <row r="522">
      <c r="A522" s="12" t="n">
        <v>18</v>
      </c>
      <c r="B522" s="12" t="n">
        <v>11</v>
      </c>
      <c r="C522" s="12" t="n">
        <v>16</v>
      </c>
      <c r="D522" s="12" t="n">
        <v>3</v>
      </c>
      <c r="E522" s="12" t="inlineStr">
        <is>
          <t>Focused (FA)</t>
        </is>
      </c>
      <c r="F522" s="13" t="n">
        <v>174</v>
      </c>
      <c r="G522" s="14" t="n">
        <v>1</v>
      </c>
      <c r="H522" s="15" t="n">
        <v>0.7260717196487728</v>
      </c>
      <c r="I522" s="16" t="n">
        <v>3</v>
      </c>
      <c r="J522" s="13" t="n">
        <v>50</v>
      </c>
      <c r="K522" s="15" t="n">
        <v>0.5669810025492831</v>
      </c>
      <c r="L522" s="15" t="n">
        <v>0</v>
      </c>
    </row>
    <row r="523">
      <c r="A523" s="12" t="n">
        <v>18</v>
      </c>
      <c r="B523" s="12" t="n">
        <v>12</v>
      </c>
      <c r="C523" s="12" t="n">
        <v>16</v>
      </c>
      <c r="D523" s="12" t="n">
        <v>3</v>
      </c>
      <c r="E523" s="12" t="inlineStr">
        <is>
          <t>Focused (FA)</t>
        </is>
      </c>
      <c r="F523" s="13" t="n">
        <v>409</v>
      </c>
      <c r="G523" s="14" t="n">
        <v>1</v>
      </c>
      <c r="H523" s="15" t="n">
        <v>0.6989991588243941</v>
      </c>
      <c r="I523" s="16" t="n">
        <v>3</v>
      </c>
      <c r="J523" s="13" t="n">
        <v>191.5</v>
      </c>
      <c r="K523" s="15" t="n">
        <v>0.5789854593242453</v>
      </c>
      <c r="L523" s="15" t="n">
        <v>0</v>
      </c>
    </row>
    <row r="524">
      <c r="A524" s="12" t="n">
        <v>18</v>
      </c>
      <c r="B524" s="12" t="n">
        <v>13</v>
      </c>
      <c r="C524" s="12" t="n">
        <v>16</v>
      </c>
      <c r="D524" s="12" t="n">
        <v>3</v>
      </c>
      <c r="E524" s="12" t="inlineStr">
        <is>
          <t>Focused (FA)</t>
        </is>
      </c>
      <c r="F524" s="13" t="n">
        <v>279</v>
      </c>
      <c r="G524" s="14" t="n">
        <v>1</v>
      </c>
      <c r="H524" s="15" t="n">
        <v>0.6635327696626</v>
      </c>
      <c r="I524" s="16" t="n">
        <v>3</v>
      </c>
      <c r="J524" s="13" t="n">
        <v>122</v>
      </c>
      <c r="K524" s="15" t="n">
        <v>0.5800680549468439</v>
      </c>
      <c r="L524" s="15" t="n">
        <v>0</v>
      </c>
    </row>
    <row r="525">
      <c r="A525" s="12" t="n">
        <v>18</v>
      </c>
      <c r="B525" s="12" t="n">
        <v>14</v>
      </c>
      <c r="C525" s="12" t="n">
        <v>16</v>
      </c>
      <c r="D525" s="12" t="n">
        <v>3</v>
      </c>
      <c r="E525" s="12" t="inlineStr">
        <is>
          <t>Focused (FA)</t>
        </is>
      </c>
      <c r="F525" s="13" t="n">
        <v>286</v>
      </c>
      <c r="G525" s="14" t="n">
        <v>1</v>
      </c>
      <c r="H525" s="15" t="n">
        <v>0.6431206621680682</v>
      </c>
      <c r="I525" s="16" t="n">
        <v>3</v>
      </c>
      <c r="J525" s="13" t="n">
        <v>130</v>
      </c>
      <c r="K525" s="15" t="n">
        <v>0.5058390627953617</v>
      </c>
      <c r="L525" s="15" t="n">
        <v>0</v>
      </c>
    </row>
    <row r="526">
      <c r="A526" s="12" t="n">
        <v>18</v>
      </c>
      <c r="B526" s="12" t="n">
        <v>15</v>
      </c>
      <c r="C526" s="12" t="n">
        <v>16</v>
      </c>
      <c r="D526" s="12" t="n">
        <v>3</v>
      </c>
      <c r="E526" s="12" t="inlineStr">
        <is>
          <t>Focused (FA)</t>
        </is>
      </c>
      <c r="F526" s="13" t="n">
        <v>264</v>
      </c>
      <c r="G526" s="14" t="n">
        <v>1</v>
      </c>
      <c r="H526" s="15" t="n">
        <v>0.7061204198917812</v>
      </c>
      <c r="I526" s="16" t="n">
        <v>3</v>
      </c>
      <c r="J526" s="13" t="n">
        <v>43</v>
      </c>
      <c r="K526" s="15" t="n">
        <v>0.5358395638873911</v>
      </c>
      <c r="L526" s="15" t="n">
        <v>0</v>
      </c>
    </row>
    <row r="527">
      <c r="A527" s="12" t="n">
        <v>18</v>
      </c>
      <c r="B527" s="12" t="n">
        <v>16</v>
      </c>
      <c r="C527" s="12" t="n">
        <v>16</v>
      </c>
      <c r="D527" s="12" t="n">
        <v>3</v>
      </c>
      <c r="E527" s="12" t="inlineStr">
        <is>
          <t>Focused (FA)</t>
        </is>
      </c>
      <c r="F527" s="13" t="n">
        <v>277</v>
      </c>
      <c r="G527" s="14" t="n">
        <v>1</v>
      </c>
      <c r="H527" s="15" t="n">
        <v>0.6958321534817948</v>
      </c>
      <c r="I527" s="16" t="n">
        <v>3</v>
      </c>
      <c r="J527" s="13" t="n">
        <v>55</v>
      </c>
      <c r="K527" s="15" t="n">
        <v>0.5857329393023901</v>
      </c>
      <c r="L527" s="15" t="n">
        <v>0</v>
      </c>
    </row>
    <row r="528">
      <c r="A528" s="12" t="n">
        <v>18</v>
      </c>
      <c r="B528" s="12" t="n">
        <v>17</v>
      </c>
      <c r="C528" s="12" t="n">
        <v>16</v>
      </c>
      <c r="D528" s="12" t="n">
        <v>3</v>
      </c>
      <c r="E528" s="12" t="inlineStr">
        <is>
          <t>Focused (FA)</t>
        </is>
      </c>
      <c r="F528" s="13" t="n">
        <v>317</v>
      </c>
      <c r="G528" s="14" t="n">
        <v>1</v>
      </c>
      <c r="H528" s="15" t="n">
        <v>0.649769648039823</v>
      </c>
      <c r="I528" s="16" t="n">
        <v>3</v>
      </c>
      <c r="J528" s="13" t="n">
        <v>60</v>
      </c>
      <c r="K528" s="15" t="n">
        <v>0.5894721399885375</v>
      </c>
      <c r="L528" s="15" t="n">
        <v>0</v>
      </c>
    </row>
    <row r="529">
      <c r="A529" s="12" t="n">
        <v>18</v>
      </c>
      <c r="B529" s="12" t="n">
        <v>18</v>
      </c>
      <c r="C529" s="12" t="n">
        <v>16</v>
      </c>
      <c r="D529" s="12" t="n">
        <v>3</v>
      </c>
      <c r="E529" s="12" t="inlineStr">
        <is>
          <t>Focused (FA)</t>
        </is>
      </c>
      <c r="F529" s="13" t="n">
        <v>244</v>
      </c>
      <c r="G529" s="14" t="n">
        <v>1</v>
      </c>
      <c r="H529" s="15" t="n">
        <v>1.209250853361455</v>
      </c>
      <c r="I529" s="16" t="n">
        <v>3</v>
      </c>
      <c r="J529" s="13" t="n">
        <v>75</v>
      </c>
      <c r="K529" s="15" t="n">
        <v>0.5745938438945205</v>
      </c>
      <c r="L529" s="15" t="n">
        <v>0</v>
      </c>
    </row>
    <row r="530">
      <c r="A530" s="12" t="n">
        <v>18</v>
      </c>
      <c r="B530" s="12" t="n">
        <v>19</v>
      </c>
      <c r="C530" s="12" t="n">
        <v>16</v>
      </c>
      <c r="D530" s="12" t="n">
        <v>3</v>
      </c>
      <c r="E530" s="12" t="inlineStr">
        <is>
          <t>Focused (FA)</t>
        </is>
      </c>
      <c r="F530" s="13" t="n">
        <v>274</v>
      </c>
      <c r="G530" s="14" t="n">
        <v>1</v>
      </c>
      <c r="H530" s="15" t="n">
        <v>0.6819683177615932</v>
      </c>
      <c r="I530" s="16" t="n">
        <v>3</v>
      </c>
      <c r="J530" s="13" t="n">
        <v>104.5</v>
      </c>
      <c r="K530" s="15" t="n">
        <v>0.6591035998493794</v>
      </c>
      <c r="L530" s="15" t="n">
        <v>0</v>
      </c>
    </row>
    <row r="531">
      <c r="A531" s="12" t="n">
        <v>18</v>
      </c>
      <c r="B531" s="12" t="n">
        <v>20</v>
      </c>
      <c r="C531" s="12" t="n">
        <v>16</v>
      </c>
      <c r="D531" s="12" t="n">
        <v>3</v>
      </c>
      <c r="E531" s="12" t="inlineStr">
        <is>
          <t>Focused (FA)</t>
        </is>
      </c>
      <c r="F531" s="13" t="n">
        <v>280</v>
      </c>
      <c r="G531" s="14" t="n">
        <v>1</v>
      </c>
      <c r="H531" s="15" t="n">
        <v>0.7144352401243307</v>
      </c>
      <c r="I531" s="16" t="n">
        <v>3</v>
      </c>
      <c r="J531" s="13" t="n">
        <v>29.5</v>
      </c>
      <c r="K531" s="15" t="n">
        <v>0.8884042342283479</v>
      </c>
      <c r="L531" s="15" t="n">
        <v>0</v>
      </c>
    </row>
    <row r="532">
      <c r="A532" s="12" t="n">
        <v>18</v>
      </c>
      <c r="B532" s="12" t="n">
        <v>21</v>
      </c>
      <c r="C532" s="12" t="n">
        <v>16</v>
      </c>
      <c r="D532" s="12" t="n">
        <v>3</v>
      </c>
      <c r="E532" s="12" t="inlineStr">
        <is>
          <t>Focused (FA)</t>
        </is>
      </c>
      <c r="F532" s="13" t="n">
        <v>174</v>
      </c>
      <c r="G532" s="14" t="n">
        <v>1</v>
      </c>
      <c r="H532" s="15" t="n">
        <v>0.8176140822841814</v>
      </c>
      <c r="I532" s="16" t="n">
        <v>3</v>
      </c>
      <c r="J532" s="13" t="n">
        <v>79.5</v>
      </c>
      <c r="K532" s="15" t="n">
        <v>1.074130798916975</v>
      </c>
      <c r="L532" s="15" t="n">
        <v>0</v>
      </c>
    </row>
    <row r="533">
      <c r="A533" s="12" t="n">
        <v>18</v>
      </c>
      <c r="B533" s="12" t="n">
        <v>22</v>
      </c>
      <c r="C533" s="12" t="n">
        <v>16</v>
      </c>
      <c r="D533" s="12" t="n">
        <v>3</v>
      </c>
      <c r="E533" s="12" t="inlineStr">
        <is>
          <t>Focused (FA)</t>
        </is>
      </c>
      <c r="F533" s="13" t="n">
        <v>204</v>
      </c>
      <c r="G533" s="14" t="n">
        <v>1</v>
      </c>
      <c r="H533" s="15" t="n">
        <v>3.241558999791169</v>
      </c>
      <c r="I533" s="16" t="n">
        <v>3</v>
      </c>
      <c r="J533" s="13" t="n">
        <v>75.5</v>
      </c>
      <c r="K533" s="15" t="n">
        <v>3.728538086640022</v>
      </c>
      <c r="L533" s="15" t="n">
        <v>0</v>
      </c>
    </row>
    <row r="534">
      <c r="A534" s="12" t="n">
        <v>18</v>
      </c>
      <c r="B534" s="12" t="n">
        <v>23</v>
      </c>
      <c r="C534" s="12" t="n">
        <v>16</v>
      </c>
      <c r="D534" s="12" t="n">
        <v>3</v>
      </c>
      <c r="E534" s="12" t="inlineStr">
        <is>
          <t>Focused (FA)</t>
        </is>
      </c>
      <c r="F534" s="13" t="n">
        <v>269</v>
      </c>
      <c r="G534" s="14" t="n">
        <v>1</v>
      </c>
      <c r="H534" s="15" t="n">
        <v>1.046703247326202</v>
      </c>
      <c r="I534" s="16" t="n">
        <v>3</v>
      </c>
      <c r="J534" s="13" t="n">
        <v>72.5</v>
      </c>
      <c r="K534" s="15" t="n">
        <v>0.5809741026938529</v>
      </c>
      <c r="L534" s="15" t="n">
        <v>0</v>
      </c>
    </row>
    <row r="535">
      <c r="A535" s="12" t="n">
        <v>18</v>
      </c>
      <c r="B535" s="12" t="n">
        <v>24</v>
      </c>
      <c r="C535" s="12" t="n">
        <v>16</v>
      </c>
      <c r="D535" s="12" t="n">
        <v>3</v>
      </c>
      <c r="E535" s="12" t="inlineStr">
        <is>
          <t>Focused (FA)</t>
        </is>
      </c>
      <c r="F535" s="13" t="n">
        <v>118</v>
      </c>
      <c r="G535" s="14" t="n">
        <v>1</v>
      </c>
      <c r="H535" s="15" t="n">
        <v>0.7873457305761188</v>
      </c>
      <c r="I535" s="16" t="n">
        <v>3</v>
      </c>
      <c r="J535" s="13" t="n">
        <v>45</v>
      </c>
      <c r="K535" s="15" t="n">
        <v>0.6761028394740589</v>
      </c>
      <c r="L535" s="15" t="n">
        <v>0</v>
      </c>
    </row>
    <row r="536">
      <c r="A536" s="12" t="n">
        <v>18</v>
      </c>
      <c r="B536" s="12" t="n">
        <v>25</v>
      </c>
      <c r="C536" s="12" t="n">
        <v>16</v>
      </c>
      <c r="D536" s="12" t="n">
        <v>3</v>
      </c>
      <c r="E536" s="12" t="inlineStr">
        <is>
          <t>Focused (FA)</t>
        </is>
      </c>
      <c r="F536" s="13" t="n">
        <v>226</v>
      </c>
      <c r="G536" s="14" t="n">
        <v>1</v>
      </c>
      <c r="H536" s="15" t="n">
        <v>2.002788848621475</v>
      </c>
      <c r="I536" s="16" t="n">
        <v>3</v>
      </c>
      <c r="J536" s="13" t="n">
        <v>26</v>
      </c>
      <c r="K536" s="15" t="n">
        <v>1.170061287239278</v>
      </c>
      <c r="L536" s="15" t="n">
        <v>0</v>
      </c>
    </row>
    <row r="537">
      <c r="A537" s="12" t="n">
        <v>18</v>
      </c>
      <c r="B537" s="12" t="n">
        <v>26</v>
      </c>
      <c r="C537" s="12" t="n">
        <v>16</v>
      </c>
      <c r="D537" s="12" t="n">
        <v>3</v>
      </c>
      <c r="E537" s="12" t="inlineStr">
        <is>
          <t>Focused (FA)</t>
        </is>
      </c>
      <c r="F537" s="13" t="n">
        <v>43</v>
      </c>
      <c r="G537" s="14" t="n">
        <v>1</v>
      </c>
      <c r="H537" s="15" t="n">
        <v>1.516866312542184</v>
      </c>
      <c r="I537" s="16" t="n">
        <v>3</v>
      </c>
      <c r="J537" s="13" t="n">
        <v>2.5</v>
      </c>
      <c r="K537" s="15" t="n">
        <v>0.7402501917136629</v>
      </c>
      <c r="L537" s="15" t="n">
        <v>0</v>
      </c>
    </row>
    <row r="538">
      <c r="A538" s="12" t="n">
        <v>18</v>
      </c>
      <c r="B538" s="12" t="n">
        <v>27</v>
      </c>
      <c r="C538" s="12" t="n">
        <v>16</v>
      </c>
      <c r="D538" s="12" t="n">
        <v>3</v>
      </c>
      <c r="E538" s="12" t="inlineStr">
        <is>
          <t>Focused (FA)</t>
        </is>
      </c>
      <c r="F538" s="13" t="n">
        <v>176</v>
      </c>
      <c r="G538" s="14" t="n">
        <v>1</v>
      </c>
      <c r="H538" s="15" t="n">
        <v>0.6936065326783832</v>
      </c>
      <c r="I538" s="16" t="n">
        <v>3</v>
      </c>
      <c r="J538" s="13" t="n">
        <v>62</v>
      </c>
      <c r="K538" s="15" t="n">
        <v>0.6205957930005023</v>
      </c>
      <c r="L538" s="15" t="n">
        <v>0</v>
      </c>
    </row>
    <row r="539">
      <c r="A539" s="12" t="n">
        <v>18</v>
      </c>
      <c r="B539" s="12" t="n">
        <v>28</v>
      </c>
      <c r="C539" s="12" t="n">
        <v>16</v>
      </c>
      <c r="D539" s="12" t="n">
        <v>3</v>
      </c>
      <c r="E539" s="12" t="inlineStr">
        <is>
          <t>Focused (FA)</t>
        </is>
      </c>
      <c r="F539" s="13" t="n">
        <v>174</v>
      </c>
      <c r="G539" s="14" t="n">
        <v>1</v>
      </c>
      <c r="H539" s="15" t="n">
        <v>1.346486057249979</v>
      </c>
      <c r="I539" s="16" t="n">
        <v>3</v>
      </c>
      <c r="J539" s="13" t="n">
        <v>71.5</v>
      </c>
      <c r="K539" s="15" t="n">
        <v>0.9460162509723032</v>
      </c>
      <c r="L539" s="15" t="n">
        <v>0</v>
      </c>
    </row>
    <row r="540">
      <c r="A540" s="12" t="n">
        <v>18</v>
      </c>
      <c r="B540" s="12" t="n">
        <v>29</v>
      </c>
      <c r="C540" s="12" t="n">
        <v>16</v>
      </c>
      <c r="D540" s="12" t="n">
        <v>3</v>
      </c>
      <c r="E540" s="12" t="inlineStr">
        <is>
          <t>Focused (FA)</t>
        </is>
      </c>
      <c r="F540" s="13" t="n">
        <v>208</v>
      </c>
      <c r="G540" s="14" t="n">
        <v>1</v>
      </c>
      <c r="H540" s="15" t="n">
        <v>0.6987170903281679</v>
      </c>
      <c r="I540" s="16" t="n">
        <v>3</v>
      </c>
      <c r="J540" s="13" t="n">
        <v>92.5</v>
      </c>
      <c r="K540" s="15" t="n">
        <v>0.5404462434736192</v>
      </c>
      <c r="L540" s="15" t="n">
        <v>0</v>
      </c>
    </row>
    <row r="541">
      <c r="A541" s="12" t="n">
        <v>18</v>
      </c>
      <c r="B541" s="12" t="n">
        <v>30</v>
      </c>
      <c r="C541" s="12" t="n">
        <v>16</v>
      </c>
      <c r="D541" s="12" t="n">
        <v>3</v>
      </c>
      <c r="E541" s="12" t="inlineStr">
        <is>
          <t>Focused (FA)</t>
        </is>
      </c>
      <c r="F541" s="13" t="n">
        <v>119</v>
      </c>
      <c r="G541" s="14" t="n">
        <v>1</v>
      </c>
      <c r="H541" s="15" t="n">
        <v>0.7199083331418717</v>
      </c>
      <c r="I541" s="16" t="n">
        <v>3</v>
      </c>
      <c r="J541" s="13" t="n">
        <v>41</v>
      </c>
      <c r="K541" s="15" t="n">
        <v>0.5758742136395674</v>
      </c>
      <c r="L541" s="15" t="n">
        <v>0</v>
      </c>
    </row>
  </sheetData>
  <autoFilter ref="A1:L5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19"/>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9" customWidth="1" min="3" max="3"/>
    <col width="20" customWidth="1" min="4" max="4"/>
    <col width="10" customWidth="1" min="5" max="5"/>
    <col width="16" customWidth="1" min="6" max="6"/>
    <col width="17" customWidth="1" min="7" max="7"/>
    <col width="16" customWidth="1" min="8" max="8"/>
    <col width="16" customWidth="1" min="9" max="9"/>
    <col width="20" customWidth="1" min="10" max="10"/>
    <col width="20" customWidth="1" min="11" max="11"/>
    <col width="20" customWidth="1" min="12" max="12"/>
    <col width="22" customWidth="1" min="13" max="13"/>
    <col width="20" customWidth="1" min="14" max="14"/>
    <col width="20" customWidth="1" min="15" max="15"/>
    <col width="22" customWidth="1" min="16" max="16"/>
    <col width="20" customWidth="1" min="17" max="17"/>
    <col width="20" customWidth="1" min="18" max="18"/>
    <col width="22" customWidth="1" min="19" max="19"/>
    <col width="20" customWidth="1" min="20" max="20"/>
    <col width="20" customWidth="1" min="21" max="21"/>
    <col width="22" customWidth="1" min="22" max="22"/>
    <col width="20" customWidth="1" min="23" max="23"/>
    <col width="20" customWidth="1" min="24" max="24"/>
    <col width="22" customWidth="1" min="25" max="25"/>
    <col width="20" customWidth="1" min="26" max="26"/>
    <col width="20" customWidth="1" min="27" max="27"/>
    <col width="22" customWidth="1" min="28" max="28"/>
    <col width="20" customWidth="1" min="29" max="29"/>
    <col width="20" customWidth="1" min="30" max="30"/>
    <col width="22" customWidth="1" min="31" max="31"/>
    <col width="14" customWidth="1" min="32" max="32"/>
  </cols>
  <sheetData>
    <row r="1">
      <c r="A1" s="6" t="inlineStr">
        <is>
          <t>Carpeta</t>
        </is>
      </c>
      <c r="B1" s="6" t="inlineStr">
        <is>
          <t>Predators</t>
        </is>
      </c>
      <c r="C1" s="6" t="inlineStr">
        <is>
          <t>Preys</t>
        </is>
      </c>
      <c r="D1" s="6" t="inlineStr">
        <is>
          <t>Modo de asignación</t>
        </is>
      </c>
      <c r="E1" s="6" t="inlineStr">
        <is>
          <t>Réplicas</t>
        </is>
      </c>
      <c r="F1" s="6" t="inlineStr">
        <is>
          <t>Radio repulsión (m)</t>
        </is>
      </c>
      <c r="G1" s="6" t="inlineStr">
        <is>
          <t>Radio orientación (m)</t>
        </is>
      </c>
      <c r="H1" s="6" t="inlineStr">
        <is>
          <t>Radio atracción (m)</t>
        </is>
      </c>
      <c r="I1" s="6" t="inlineStr">
        <is>
          <t>Radio influencia (m)</t>
        </is>
      </c>
      <c r="J1" s="6" t="inlineStr">
        <is>
          <t>Radio repulsión presa (m)</t>
        </is>
      </c>
      <c r="K1" s="6" t="inlineStr">
        <is>
          <t>Promedio Tiempo de captura (iter)</t>
        </is>
      </c>
      <c r="L1" s="6" t="inlineStr">
        <is>
          <t>Desv. estándar Tiempo de captura (iter)</t>
        </is>
      </c>
      <c r="M1" s="6" t="inlineStr">
        <is>
          <t>Tiempo de captura (iter) (Media ± DE)</t>
        </is>
      </c>
      <c r="N1" s="6" t="inlineStr">
        <is>
          <t>Promedio Fracción de éxito</t>
        </is>
      </c>
      <c r="O1" s="6" t="inlineStr">
        <is>
          <t>Desv. estándar Fracción de éxito</t>
        </is>
      </c>
      <c r="P1" s="6" t="inlineStr">
        <is>
          <t>Fracción de éxito (Media ± DE)</t>
        </is>
      </c>
      <c r="Q1" s="6" t="inlineStr">
        <is>
          <t>Promedio Cohesión media (m)</t>
        </is>
      </c>
      <c r="R1" s="6" t="inlineStr">
        <is>
          <t>Desv. estándar Cohesión media (m)</t>
        </is>
      </c>
      <c r="S1" s="6" t="inlineStr">
        <is>
          <t>Cohesión media (m) (Media ± DE)</t>
        </is>
      </c>
      <c r="T1" s="6" t="inlineStr">
        <is>
          <t>Promedio Presas capturadas</t>
        </is>
      </c>
      <c r="U1" s="6" t="inlineStr">
        <is>
          <t>Desv. estándar Presas capturadas</t>
        </is>
      </c>
      <c r="V1" s="6" t="inlineStr">
        <is>
          <t>Presas capturadas (Media ± DE)</t>
        </is>
      </c>
      <c r="W1" s="6" t="inlineStr">
        <is>
          <t>Promedio Intervalo entre capturas (iter)</t>
        </is>
      </c>
      <c r="X1" s="6" t="inlineStr">
        <is>
          <t>Desv. estándar Intervalo entre capturas (iter)</t>
        </is>
      </c>
      <c r="Y1" s="6" t="inlineStr">
        <is>
          <t>Intervalo entre capturas (iter) (Media ± DE)</t>
        </is>
      </c>
      <c r="Z1" s="6" t="inlineStr">
        <is>
          <t>Promedio Cohesión al capturar (m)</t>
        </is>
      </c>
      <c r="AA1" s="6" t="inlineStr">
        <is>
          <t>Desv. estándar Cohesión al capturar (m)</t>
        </is>
      </c>
      <c r="AB1" s="6" t="inlineStr">
        <is>
          <t>Cohesión al capturar (m) (Media ± DE)</t>
        </is>
      </c>
      <c r="AC1" s="6" t="inlineStr">
        <is>
          <t>Promedio Tasa de división del enjambre</t>
        </is>
      </c>
      <c r="AD1" s="6" t="inlineStr">
        <is>
          <t>Desv. estándar Tasa de división del enjambre</t>
        </is>
      </c>
      <c r="AE1" s="6" t="inlineStr">
        <is>
          <t>Tasa de división del enjambre (Media ± DE)</t>
        </is>
      </c>
      <c r="AF1" s="6" t="inlineStr">
        <is>
          <t>Nota origen</t>
        </is>
      </c>
    </row>
    <row r="2">
      <c r="A2" s="7" t="n">
        <v>1</v>
      </c>
      <c r="B2" s="7" t="n">
        <v>8</v>
      </c>
      <c r="C2" s="7" t="n">
        <v>1</v>
      </c>
      <c r="D2" s="7" t="inlineStr">
        <is>
          <t>Emergent (EA)</t>
        </is>
      </c>
      <c r="E2" s="7" t="n">
        <v>30</v>
      </c>
      <c r="F2" s="7" t="n">
        <v>0.3</v>
      </c>
      <c r="G2" s="7" t="n">
        <v>1</v>
      </c>
      <c r="H2" s="7" t="n">
        <v>1.6</v>
      </c>
      <c r="I2" s="7" t="n">
        <v>2.4</v>
      </c>
      <c r="J2" s="7" t="n">
        <v>0.6</v>
      </c>
      <c r="K2" s="17">
        <f>AVERAGEIF('Datos_Detalle'!$A$2:$A$31,A2,'Datos_Detalle'!F$2:F$31)</f>
        <v/>
      </c>
      <c r="L2" s="17">
        <f>STDEV('Datos_Detalle'!F$2:F$31)</f>
        <v/>
      </c>
      <c r="M2" s="7">
        <f>TEXT(K2,"0.00")&amp;" ± "&amp;TEXT(L2,"0.00")</f>
        <v/>
      </c>
      <c r="N2" s="18">
        <f>AVERAGEIF('Datos_Detalle'!$A$2:$A$31,A2,'Datos_Detalle'!G$2:G$31)</f>
        <v/>
      </c>
      <c r="O2" s="18">
        <f>STDEV('Datos_Detalle'!G$2:G$31)</f>
        <v/>
      </c>
      <c r="P2" s="7">
        <f>TEXT(N2,"0.000")&amp;" ± "&amp;TEXT(O2,"0.000")</f>
        <v/>
      </c>
      <c r="Q2" s="19">
        <f>AVERAGEIF('Datos_Detalle'!$A$2:$A$31,A2,'Datos_Detalle'!H$2:H$31)</f>
        <v/>
      </c>
      <c r="R2" s="19">
        <f>STDEV('Datos_Detalle'!H$2:H$31)</f>
        <v/>
      </c>
      <c r="S2" s="7">
        <f>TEXT(Q2,"0.0000")&amp;" ± "&amp;TEXT(R2,"0.0000")</f>
        <v/>
      </c>
      <c r="T2" s="20">
        <f>AVERAGEIF('Datos_Detalle'!$A$2:$A$31,A2,'Datos_Detalle'!I$2:I$31)</f>
        <v/>
      </c>
      <c r="U2" s="20">
        <f>STDEV('Datos_Detalle'!I$2:I$31)</f>
        <v/>
      </c>
      <c r="V2" s="7">
        <f>TEXT(T2,"0")&amp;" ± "&amp;TEXT(U2,"0")</f>
        <v/>
      </c>
      <c r="W2" s="17">
        <f>AVERAGEIF('Datos_Detalle'!$A$2:$A$31,A2,'Datos_Detalle'!J$2:J$31)</f>
        <v/>
      </c>
      <c r="X2" s="17">
        <f>STDEV('Datos_Detalle'!J$2:J$31)</f>
        <v/>
      </c>
      <c r="Y2" s="7">
        <f>TEXT(W2,"0.00")&amp;" ± "&amp;TEXT(X2,"0.00")</f>
        <v/>
      </c>
      <c r="Z2" s="19">
        <f>AVERAGEIF('Datos_Detalle'!$A$2:$A$31,A2,'Datos_Detalle'!K$2:K$31)</f>
        <v/>
      </c>
      <c r="AA2" s="19">
        <f>STDEV('Datos_Detalle'!K$2:K$31)</f>
        <v/>
      </c>
      <c r="AB2" s="7">
        <f>TEXT(Z2,"0.0000")&amp;" ± "&amp;TEXT(AA2,"0.0000")</f>
        <v/>
      </c>
      <c r="AC2" s="19">
        <f>AVERAGEIF('Datos_Detalle'!$A$2:$A$31,A2,'Datos_Detalle'!L$2:L$31)</f>
        <v/>
      </c>
      <c r="AD2" s="19">
        <f>STDEV('Datos_Detalle'!L$2:L$31)</f>
        <v/>
      </c>
      <c r="AE2" s="7">
        <f>TEXT(AC2,"0.0000")&amp;" ± "&amp;TEXT(AD2,"0.0000")</f>
        <v/>
      </c>
      <c r="AF2" s="21" t="inlineStr">
        <is>
          <t>1.txt</t>
        </is>
      </c>
    </row>
    <row r="3">
      <c r="A3" s="7" t="n">
        <v>2</v>
      </c>
      <c r="B3" s="7" t="n">
        <v>8</v>
      </c>
      <c r="C3" s="7" t="n">
        <v>2</v>
      </c>
      <c r="D3" s="7" t="inlineStr">
        <is>
          <t>Emergent (EA)</t>
        </is>
      </c>
      <c r="E3" s="7" t="n">
        <v>30</v>
      </c>
      <c r="F3" s="7" t="n">
        <v>0.3</v>
      </c>
      <c r="G3" s="7" t="n">
        <v>1</v>
      </c>
      <c r="H3" s="7" t="n">
        <v>1.6</v>
      </c>
      <c r="I3" s="7" t="n">
        <v>2.4</v>
      </c>
      <c r="J3" s="7" t="n">
        <v>0.6</v>
      </c>
      <c r="K3" s="17">
        <f>AVERAGEIF('Datos_Detalle'!$A$32:$A$61,A3,'Datos_Detalle'!F$32:F$61)</f>
        <v/>
      </c>
      <c r="L3" s="17">
        <f>STDEV('Datos_Detalle'!F$32:F$61)</f>
        <v/>
      </c>
      <c r="M3" s="7">
        <f>TEXT(K3,"0.00")&amp;" ± "&amp;TEXT(L3,"0.00")</f>
        <v/>
      </c>
      <c r="N3" s="18">
        <f>AVERAGEIF('Datos_Detalle'!$A$32:$A$61,A3,'Datos_Detalle'!G$32:G$61)</f>
        <v/>
      </c>
      <c r="O3" s="18">
        <f>STDEV('Datos_Detalle'!G$32:G$61)</f>
        <v/>
      </c>
      <c r="P3" s="7">
        <f>TEXT(N3,"0.000")&amp;" ± "&amp;TEXT(O3,"0.000")</f>
        <v/>
      </c>
      <c r="Q3" s="19">
        <f>AVERAGEIF('Datos_Detalle'!$A$32:$A$61,A3,'Datos_Detalle'!H$32:H$61)</f>
        <v/>
      </c>
      <c r="R3" s="19">
        <f>STDEV('Datos_Detalle'!H$32:H$61)</f>
        <v/>
      </c>
      <c r="S3" s="7">
        <f>TEXT(Q3,"0.0000")&amp;" ± "&amp;TEXT(R3,"0.0000")</f>
        <v/>
      </c>
      <c r="T3" s="20">
        <f>AVERAGEIF('Datos_Detalle'!$A$32:$A$61,A3,'Datos_Detalle'!I$32:I$61)</f>
        <v/>
      </c>
      <c r="U3" s="20">
        <f>STDEV('Datos_Detalle'!I$32:I$61)</f>
        <v/>
      </c>
      <c r="V3" s="7">
        <f>TEXT(T3,"0")&amp;" ± "&amp;TEXT(U3,"0")</f>
        <v/>
      </c>
      <c r="W3" s="17">
        <f>AVERAGEIF('Datos_Detalle'!$A$32:$A$61,A3,'Datos_Detalle'!J$32:J$61)</f>
        <v/>
      </c>
      <c r="X3" s="17">
        <f>STDEV('Datos_Detalle'!J$32:J$61)</f>
        <v/>
      </c>
      <c r="Y3" s="7">
        <f>TEXT(W3,"0.00")&amp;" ± "&amp;TEXT(X3,"0.00")</f>
        <v/>
      </c>
      <c r="Z3" s="19">
        <f>AVERAGEIF('Datos_Detalle'!$A$32:$A$61,A3,'Datos_Detalle'!K$32:K$61)</f>
        <v/>
      </c>
      <c r="AA3" s="19">
        <f>STDEV('Datos_Detalle'!K$32:K$61)</f>
        <v/>
      </c>
      <c r="AB3" s="7">
        <f>TEXT(Z3,"0.0000")&amp;" ± "&amp;TEXT(AA3,"0.0000")</f>
        <v/>
      </c>
      <c r="AC3" s="19">
        <f>AVERAGEIF('Datos_Detalle'!$A$32:$A$61,A3,'Datos_Detalle'!L$32:L$61)</f>
        <v/>
      </c>
      <c r="AD3" s="19">
        <f>STDEV('Datos_Detalle'!L$32:L$61)</f>
        <v/>
      </c>
      <c r="AE3" s="7">
        <f>TEXT(AC3,"0.0000")&amp;" ± "&amp;TEXT(AD3,"0.0000")</f>
        <v/>
      </c>
      <c r="AF3" s="21" t="inlineStr">
        <is>
          <t>2.txt</t>
        </is>
      </c>
    </row>
    <row r="4">
      <c r="A4" s="7" t="n">
        <v>3</v>
      </c>
      <c r="B4" s="7" t="n">
        <v>8</v>
      </c>
      <c r="C4" s="7" t="n">
        <v>3</v>
      </c>
      <c r="D4" s="7" t="inlineStr">
        <is>
          <t>Emergent (EA)</t>
        </is>
      </c>
      <c r="E4" s="7" t="n">
        <v>30</v>
      </c>
      <c r="F4" s="7" t="n">
        <v>0.3</v>
      </c>
      <c r="G4" s="7" t="n">
        <v>1</v>
      </c>
      <c r="H4" s="7" t="n">
        <v>1.6</v>
      </c>
      <c r="I4" s="7" t="n">
        <v>2.4</v>
      </c>
      <c r="J4" s="7" t="n">
        <v>0.6</v>
      </c>
      <c r="K4" s="17">
        <f>AVERAGEIF('Datos_Detalle'!$A$62:$A$91,A4,'Datos_Detalle'!F$62:F$91)</f>
        <v/>
      </c>
      <c r="L4" s="17">
        <f>STDEV('Datos_Detalle'!F$62:F$91)</f>
        <v/>
      </c>
      <c r="M4" s="7">
        <f>TEXT(K4,"0.00")&amp;" ± "&amp;TEXT(L4,"0.00")</f>
        <v/>
      </c>
      <c r="N4" s="18">
        <f>AVERAGEIF('Datos_Detalle'!$A$62:$A$91,A4,'Datos_Detalle'!G$62:G$91)</f>
        <v/>
      </c>
      <c r="O4" s="18">
        <f>STDEV('Datos_Detalle'!G$62:G$91)</f>
        <v/>
      </c>
      <c r="P4" s="7">
        <f>TEXT(N4,"0.000")&amp;" ± "&amp;TEXT(O4,"0.000")</f>
        <v/>
      </c>
      <c r="Q4" s="19">
        <f>AVERAGEIF('Datos_Detalle'!$A$62:$A$91,A4,'Datos_Detalle'!H$62:H$91)</f>
        <v/>
      </c>
      <c r="R4" s="19">
        <f>STDEV('Datos_Detalle'!H$62:H$91)</f>
        <v/>
      </c>
      <c r="S4" s="7">
        <f>TEXT(Q4,"0.0000")&amp;" ± "&amp;TEXT(R4,"0.0000")</f>
        <v/>
      </c>
      <c r="T4" s="20">
        <f>AVERAGEIF('Datos_Detalle'!$A$62:$A$91,A4,'Datos_Detalle'!I$62:I$91)</f>
        <v/>
      </c>
      <c r="U4" s="20">
        <f>STDEV('Datos_Detalle'!I$62:I$91)</f>
        <v/>
      </c>
      <c r="V4" s="7">
        <f>TEXT(T4,"0")&amp;" ± "&amp;TEXT(U4,"0")</f>
        <v/>
      </c>
      <c r="W4" s="17">
        <f>AVERAGEIF('Datos_Detalle'!$A$62:$A$91,A4,'Datos_Detalle'!J$62:J$91)</f>
        <v/>
      </c>
      <c r="X4" s="17">
        <f>STDEV('Datos_Detalle'!J$62:J$91)</f>
        <v/>
      </c>
      <c r="Y4" s="7">
        <f>TEXT(W4,"0.00")&amp;" ± "&amp;TEXT(X4,"0.00")</f>
        <v/>
      </c>
      <c r="Z4" s="19">
        <f>AVERAGEIF('Datos_Detalle'!$A$62:$A$91,A4,'Datos_Detalle'!K$62:K$91)</f>
        <v/>
      </c>
      <c r="AA4" s="19">
        <f>STDEV('Datos_Detalle'!K$62:K$91)</f>
        <v/>
      </c>
      <c r="AB4" s="7">
        <f>TEXT(Z4,"0.0000")&amp;" ± "&amp;TEXT(AA4,"0.0000")</f>
        <v/>
      </c>
      <c r="AC4" s="19">
        <f>AVERAGEIF('Datos_Detalle'!$A$62:$A$91,A4,'Datos_Detalle'!L$62:L$91)</f>
        <v/>
      </c>
      <c r="AD4" s="19">
        <f>STDEV('Datos_Detalle'!L$62:L$91)</f>
        <v/>
      </c>
      <c r="AE4" s="7">
        <f>TEXT(AC4,"0.0000")&amp;" ± "&amp;TEXT(AD4,"0.0000")</f>
        <v/>
      </c>
      <c r="AF4" s="21" t="inlineStr">
        <is>
          <t>3.txt</t>
        </is>
      </c>
    </row>
    <row r="5">
      <c r="A5" s="7" t="n">
        <v>4</v>
      </c>
      <c r="B5" s="7" t="n">
        <v>12</v>
      </c>
      <c r="C5" s="7" t="n">
        <v>1</v>
      </c>
      <c r="D5" s="7" t="inlineStr">
        <is>
          <t>Emergent (EA)</t>
        </is>
      </c>
      <c r="E5" s="7" t="n">
        <v>30</v>
      </c>
      <c r="F5" s="7" t="n">
        <v>0.3</v>
      </c>
      <c r="G5" s="7" t="n">
        <v>1</v>
      </c>
      <c r="H5" s="7" t="n">
        <v>1.6</v>
      </c>
      <c r="I5" s="7" t="n">
        <v>2.4</v>
      </c>
      <c r="J5" s="7" t="n">
        <v>0.6</v>
      </c>
      <c r="K5" s="17">
        <f>AVERAGEIF('Datos_Detalle'!$A$92:$A$121,A5,'Datos_Detalle'!F$92:F$121)</f>
        <v/>
      </c>
      <c r="L5" s="17">
        <f>STDEV('Datos_Detalle'!F$92:F$121)</f>
        <v/>
      </c>
      <c r="M5" s="7">
        <f>TEXT(K5,"0.00")&amp;" ± "&amp;TEXT(L5,"0.00")</f>
        <v/>
      </c>
      <c r="N5" s="18">
        <f>AVERAGEIF('Datos_Detalle'!$A$92:$A$121,A5,'Datos_Detalle'!G$92:G$121)</f>
        <v/>
      </c>
      <c r="O5" s="18">
        <f>STDEV('Datos_Detalle'!G$92:G$121)</f>
        <v/>
      </c>
      <c r="P5" s="7">
        <f>TEXT(N5,"0.000")&amp;" ± "&amp;TEXT(O5,"0.000")</f>
        <v/>
      </c>
      <c r="Q5" s="19">
        <f>AVERAGEIF('Datos_Detalle'!$A$92:$A$121,A5,'Datos_Detalle'!H$92:H$121)</f>
        <v/>
      </c>
      <c r="R5" s="19">
        <f>STDEV('Datos_Detalle'!H$92:H$121)</f>
        <v/>
      </c>
      <c r="S5" s="7">
        <f>TEXT(Q5,"0.0000")&amp;" ± "&amp;TEXT(R5,"0.0000")</f>
        <v/>
      </c>
      <c r="T5" s="20">
        <f>AVERAGEIF('Datos_Detalle'!$A$92:$A$121,A5,'Datos_Detalle'!I$92:I$121)</f>
        <v/>
      </c>
      <c r="U5" s="20">
        <f>STDEV('Datos_Detalle'!I$92:I$121)</f>
        <v/>
      </c>
      <c r="V5" s="7">
        <f>TEXT(T5,"0")&amp;" ± "&amp;TEXT(U5,"0")</f>
        <v/>
      </c>
      <c r="W5" s="17">
        <f>AVERAGEIF('Datos_Detalle'!$A$92:$A$121,A5,'Datos_Detalle'!J$92:J$121)</f>
        <v/>
      </c>
      <c r="X5" s="17">
        <f>STDEV('Datos_Detalle'!J$92:J$121)</f>
        <v/>
      </c>
      <c r="Y5" s="7">
        <f>TEXT(W5,"0.00")&amp;" ± "&amp;TEXT(X5,"0.00")</f>
        <v/>
      </c>
      <c r="Z5" s="19">
        <f>AVERAGEIF('Datos_Detalle'!$A$92:$A$121,A5,'Datos_Detalle'!K$92:K$121)</f>
        <v/>
      </c>
      <c r="AA5" s="19">
        <f>STDEV('Datos_Detalle'!K$92:K$121)</f>
        <v/>
      </c>
      <c r="AB5" s="7">
        <f>TEXT(Z5,"0.0000")&amp;" ± "&amp;TEXT(AA5,"0.0000")</f>
        <v/>
      </c>
      <c r="AC5" s="19">
        <f>AVERAGEIF('Datos_Detalle'!$A$92:$A$121,A5,'Datos_Detalle'!L$92:L$121)</f>
        <v/>
      </c>
      <c r="AD5" s="19">
        <f>STDEV('Datos_Detalle'!L$92:L$121)</f>
        <v/>
      </c>
      <c r="AE5" s="7">
        <f>TEXT(AC5,"0.0000")&amp;" ± "&amp;TEXT(AD5,"0.0000")</f>
        <v/>
      </c>
      <c r="AF5" s="21" t="inlineStr">
        <is>
          <t>4.txt</t>
        </is>
      </c>
    </row>
    <row r="6">
      <c r="A6" s="7" t="n">
        <v>5</v>
      </c>
      <c r="B6" s="7" t="n">
        <v>12</v>
      </c>
      <c r="C6" s="7" t="n">
        <v>2</v>
      </c>
      <c r="D6" s="7" t="inlineStr">
        <is>
          <t>Emergent (EA)</t>
        </is>
      </c>
      <c r="E6" s="7" t="n">
        <v>30</v>
      </c>
      <c r="F6" s="7" t="n">
        <v>0.3</v>
      </c>
      <c r="G6" s="7" t="n">
        <v>1</v>
      </c>
      <c r="H6" s="7" t="n">
        <v>1.6</v>
      </c>
      <c r="I6" s="7" t="n">
        <v>2.4</v>
      </c>
      <c r="J6" s="7" t="n">
        <v>0.6</v>
      </c>
      <c r="K6" s="17">
        <f>AVERAGEIF('Datos_Detalle'!$A$122:$A$151,A6,'Datos_Detalle'!F$122:F$151)</f>
        <v/>
      </c>
      <c r="L6" s="17">
        <f>STDEV('Datos_Detalle'!F$122:F$151)</f>
        <v/>
      </c>
      <c r="M6" s="7">
        <f>TEXT(K6,"0.00")&amp;" ± "&amp;TEXT(L6,"0.00")</f>
        <v/>
      </c>
      <c r="N6" s="18">
        <f>AVERAGEIF('Datos_Detalle'!$A$122:$A$151,A6,'Datos_Detalle'!G$122:G$151)</f>
        <v/>
      </c>
      <c r="O6" s="18">
        <f>STDEV('Datos_Detalle'!G$122:G$151)</f>
        <v/>
      </c>
      <c r="P6" s="7">
        <f>TEXT(N6,"0.000")&amp;" ± "&amp;TEXT(O6,"0.000")</f>
        <v/>
      </c>
      <c r="Q6" s="19">
        <f>AVERAGEIF('Datos_Detalle'!$A$122:$A$151,A6,'Datos_Detalle'!H$122:H$151)</f>
        <v/>
      </c>
      <c r="R6" s="19">
        <f>STDEV('Datos_Detalle'!H$122:H$151)</f>
        <v/>
      </c>
      <c r="S6" s="7">
        <f>TEXT(Q6,"0.0000")&amp;" ± "&amp;TEXT(R6,"0.0000")</f>
        <v/>
      </c>
      <c r="T6" s="20">
        <f>AVERAGEIF('Datos_Detalle'!$A$122:$A$151,A6,'Datos_Detalle'!I$122:I$151)</f>
        <v/>
      </c>
      <c r="U6" s="20">
        <f>STDEV('Datos_Detalle'!I$122:I$151)</f>
        <v/>
      </c>
      <c r="V6" s="7">
        <f>TEXT(T6,"0")&amp;" ± "&amp;TEXT(U6,"0")</f>
        <v/>
      </c>
      <c r="W6" s="17">
        <f>AVERAGEIF('Datos_Detalle'!$A$122:$A$151,A6,'Datos_Detalle'!J$122:J$151)</f>
        <v/>
      </c>
      <c r="X6" s="17">
        <f>STDEV('Datos_Detalle'!J$122:J$151)</f>
        <v/>
      </c>
      <c r="Y6" s="7">
        <f>TEXT(W6,"0.00")&amp;" ± "&amp;TEXT(X6,"0.00")</f>
        <v/>
      </c>
      <c r="Z6" s="19">
        <f>AVERAGEIF('Datos_Detalle'!$A$122:$A$151,A6,'Datos_Detalle'!K$122:K$151)</f>
        <v/>
      </c>
      <c r="AA6" s="19">
        <f>STDEV('Datos_Detalle'!K$122:K$151)</f>
        <v/>
      </c>
      <c r="AB6" s="7">
        <f>TEXT(Z6,"0.0000")&amp;" ± "&amp;TEXT(AA6,"0.0000")</f>
        <v/>
      </c>
      <c r="AC6" s="19">
        <f>AVERAGEIF('Datos_Detalle'!$A$122:$A$151,A6,'Datos_Detalle'!L$122:L$151)</f>
        <v/>
      </c>
      <c r="AD6" s="19">
        <f>STDEV('Datos_Detalle'!L$122:L$151)</f>
        <v/>
      </c>
      <c r="AE6" s="7">
        <f>TEXT(AC6,"0.0000")&amp;" ± "&amp;TEXT(AD6,"0.0000")</f>
        <v/>
      </c>
      <c r="AF6" s="21" t="inlineStr">
        <is>
          <t>5.txt</t>
        </is>
      </c>
    </row>
    <row r="7">
      <c r="A7" s="7" t="n">
        <v>6</v>
      </c>
      <c r="B7" s="7" t="n">
        <v>12</v>
      </c>
      <c r="C7" s="7" t="n">
        <v>3</v>
      </c>
      <c r="D7" s="7" t="inlineStr">
        <is>
          <t>Emergent (EA)</t>
        </is>
      </c>
      <c r="E7" s="7" t="n">
        <v>30</v>
      </c>
      <c r="F7" s="7" t="n">
        <v>0.3</v>
      </c>
      <c r="G7" s="7" t="n">
        <v>1</v>
      </c>
      <c r="H7" s="7" t="n">
        <v>1.6</v>
      </c>
      <c r="I7" s="7" t="n">
        <v>2.4</v>
      </c>
      <c r="J7" s="7" t="n">
        <v>0.6</v>
      </c>
      <c r="K7" s="17">
        <f>AVERAGEIF('Datos_Detalle'!$A$152:$A$181,A7,'Datos_Detalle'!F$152:F$181)</f>
        <v/>
      </c>
      <c r="L7" s="17">
        <f>STDEV('Datos_Detalle'!F$152:F$181)</f>
        <v/>
      </c>
      <c r="M7" s="7">
        <f>TEXT(K7,"0.00")&amp;" ± "&amp;TEXT(L7,"0.00")</f>
        <v/>
      </c>
      <c r="N7" s="18">
        <f>AVERAGEIF('Datos_Detalle'!$A$152:$A$181,A7,'Datos_Detalle'!G$152:G$181)</f>
        <v/>
      </c>
      <c r="O7" s="18">
        <f>STDEV('Datos_Detalle'!G$152:G$181)</f>
        <v/>
      </c>
      <c r="P7" s="7">
        <f>TEXT(N7,"0.000")&amp;" ± "&amp;TEXT(O7,"0.000")</f>
        <v/>
      </c>
      <c r="Q7" s="19">
        <f>AVERAGEIF('Datos_Detalle'!$A$152:$A$181,A7,'Datos_Detalle'!H$152:H$181)</f>
        <v/>
      </c>
      <c r="R7" s="19">
        <f>STDEV('Datos_Detalle'!H$152:H$181)</f>
        <v/>
      </c>
      <c r="S7" s="7">
        <f>TEXT(Q7,"0.0000")&amp;" ± "&amp;TEXT(R7,"0.0000")</f>
        <v/>
      </c>
      <c r="T7" s="20">
        <f>AVERAGEIF('Datos_Detalle'!$A$152:$A$181,A7,'Datos_Detalle'!I$152:I$181)</f>
        <v/>
      </c>
      <c r="U7" s="20">
        <f>STDEV('Datos_Detalle'!I$152:I$181)</f>
        <v/>
      </c>
      <c r="V7" s="7">
        <f>TEXT(T7,"0")&amp;" ± "&amp;TEXT(U7,"0")</f>
        <v/>
      </c>
      <c r="W7" s="17">
        <f>AVERAGEIF('Datos_Detalle'!$A$152:$A$181,A7,'Datos_Detalle'!J$152:J$181)</f>
        <v/>
      </c>
      <c r="X7" s="17">
        <f>STDEV('Datos_Detalle'!J$152:J$181)</f>
        <v/>
      </c>
      <c r="Y7" s="7">
        <f>TEXT(W7,"0.00")&amp;" ± "&amp;TEXT(X7,"0.00")</f>
        <v/>
      </c>
      <c r="Z7" s="19">
        <f>AVERAGEIF('Datos_Detalle'!$A$152:$A$181,A7,'Datos_Detalle'!K$152:K$181)</f>
        <v/>
      </c>
      <c r="AA7" s="19">
        <f>STDEV('Datos_Detalle'!K$152:K$181)</f>
        <v/>
      </c>
      <c r="AB7" s="7">
        <f>TEXT(Z7,"0.0000")&amp;" ± "&amp;TEXT(AA7,"0.0000")</f>
        <v/>
      </c>
      <c r="AC7" s="19">
        <f>AVERAGEIF('Datos_Detalle'!$A$152:$A$181,A7,'Datos_Detalle'!L$152:L$181)</f>
        <v/>
      </c>
      <c r="AD7" s="19">
        <f>STDEV('Datos_Detalle'!L$152:L$181)</f>
        <v/>
      </c>
      <c r="AE7" s="7">
        <f>TEXT(AC7,"0.0000")&amp;" ± "&amp;TEXT(AD7,"0.0000")</f>
        <v/>
      </c>
      <c r="AF7" s="21" t="inlineStr">
        <is>
          <t>6.txt</t>
        </is>
      </c>
    </row>
    <row r="8">
      <c r="A8" s="7" t="n">
        <v>7</v>
      </c>
      <c r="B8" s="7" t="n">
        <v>16</v>
      </c>
      <c r="C8" s="7" t="n">
        <v>1</v>
      </c>
      <c r="D8" s="7" t="inlineStr">
        <is>
          <t>Emergent (EA)</t>
        </is>
      </c>
      <c r="E8" s="7" t="n">
        <v>30</v>
      </c>
      <c r="F8" s="7" t="n">
        <v>0.3</v>
      </c>
      <c r="G8" s="7" t="n">
        <v>1</v>
      </c>
      <c r="H8" s="7" t="n">
        <v>1.6</v>
      </c>
      <c r="I8" s="7" t="n">
        <v>2.4</v>
      </c>
      <c r="J8" s="7" t="n">
        <v>0.6</v>
      </c>
      <c r="K8" s="17">
        <f>AVERAGEIF('Datos_Detalle'!$A$182:$A$211,A8,'Datos_Detalle'!F$182:F$211)</f>
        <v/>
      </c>
      <c r="L8" s="17">
        <f>STDEV('Datos_Detalle'!F$182:F$211)</f>
        <v/>
      </c>
      <c r="M8" s="7">
        <f>TEXT(K8,"0.00")&amp;" ± "&amp;TEXT(L8,"0.00")</f>
        <v/>
      </c>
      <c r="N8" s="18">
        <f>AVERAGEIF('Datos_Detalle'!$A$182:$A$211,A8,'Datos_Detalle'!G$182:G$211)</f>
        <v/>
      </c>
      <c r="O8" s="18">
        <f>STDEV('Datos_Detalle'!G$182:G$211)</f>
        <v/>
      </c>
      <c r="P8" s="7">
        <f>TEXT(N8,"0.000")&amp;" ± "&amp;TEXT(O8,"0.000")</f>
        <v/>
      </c>
      <c r="Q8" s="19">
        <f>AVERAGEIF('Datos_Detalle'!$A$182:$A$211,A8,'Datos_Detalle'!H$182:H$211)</f>
        <v/>
      </c>
      <c r="R8" s="19">
        <f>STDEV('Datos_Detalle'!H$182:H$211)</f>
        <v/>
      </c>
      <c r="S8" s="7">
        <f>TEXT(Q8,"0.0000")&amp;" ± "&amp;TEXT(R8,"0.0000")</f>
        <v/>
      </c>
      <c r="T8" s="20">
        <f>AVERAGEIF('Datos_Detalle'!$A$182:$A$211,A8,'Datos_Detalle'!I$182:I$211)</f>
        <v/>
      </c>
      <c r="U8" s="20">
        <f>STDEV('Datos_Detalle'!I$182:I$211)</f>
        <v/>
      </c>
      <c r="V8" s="7">
        <f>TEXT(T8,"0")&amp;" ± "&amp;TEXT(U8,"0")</f>
        <v/>
      </c>
      <c r="W8" s="17">
        <f>AVERAGEIF('Datos_Detalle'!$A$182:$A$211,A8,'Datos_Detalle'!J$182:J$211)</f>
        <v/>
      </c>
      <c r="X8" s="17">
        <f>STDEV('Datos_Detalle'!J$182:J$211)</f>
        <v/>
      </c>
      <c r="Y8" s="7">
        <f>TEXT(W8,"0.00")&amp;" ± "&amp;TEXT(X8,"0.00")</f>
        <v/>
      </c>
      <c r="Z8" s="19">
        <f>AVERAGEIF('Datos_Detalle'!$A$182:$A$211,A8,'Datos_Detalle'!K$182:K$211)</f>
        <v/>
      </c>
      <c r="AA8" s="19">
        <f>STDEV('Datos_Detalle'!K$182:K$211)</f>
        <v/>
      </c>
      <c r="AB8" s="7">
        <f>TEXT(Z8,"0.0000")&amp;" ± "&amp;TEXT(AA8,"0.0000")</f>
        <v/>
      </c>
      <c r="AC8" s="19">
        <f>AVERAGEIF('Datos_Detalle'!$A$182:$A$211,A8,'Datos_Detalle'!L$182:L$211)</f>
        <v/>
      </c>
      <c r="AD8" s="19">
        <f>STDEV('Datos_Detalle'!L$182:L$211)</f>
        <v/>
      </c>
      <c r="AE8" s="7">
        <f>TEXT(AC8,"0.0000")&amp;" ± "&amp;TEXT(AD8,"0.0000")</f>
        <v/>
      </c>
      <c r="AF8" s="21" t="inlineStr">
        <is>
          <t>7.txt</t>
        </is>
      </c>
    </row>
    <row r="9">
      <c r="A9" s="7" t="n">
        <v>8</v>
      </c>
      <c r="B9" s="7" t="n">
        <v>16</v>
      </c>
      <c r="C9" s="7" t="n">
        <v>2</v>
      </c>
      <c r="D9" s="7" t="inlineStr">
        <is>
          <t>Emergent (EA)</t>
        </is>
      </c>
      <c r="E9" s="7" t="n">
        <v>30</v>
      </c>
      <c r="F9" s="7" t="n">
        <v>0.3</v>
      </c>
      <c r="G9" s="7" t="n">
        <v>1</v>
      </c>
      <c r="H9" s="7" t="n">
        <v>1.6</v>
      </c>
      <c r="I9" s="7" t="n">
        <v>2.4</v>
      </c>
      <c r="J9" s="7" t="n">
        <v>0.6</v>
      </c>
      <c r="K9" s="17">
        <f>AVERAGEIF('Datos_Detalle'!$A$212:$A$241,A9,'Datos_Detalle'!F$212:F$241)</f>
        <v/>
      </c>
      <c r="L9" s="17">
        <f>STDEV('Datos_Detalle'!F$212:F$241)</f>
        <v/>
      </c>
      <c r="M9" s="7">
        <f>TEXT(K9,"0.00")&amp;" ± "&amp;TEXT(L9,"0.00")</f>
        <v/>
      </c>
      <c r="N9" s="18">
        <f>AVERAGEIF('Datos_Detalle'!$A$212:$A$241,A9,'Datos_Detalle'!G$212:G$241)</f>
        <v/>
      </c>
      <c r="O9" s="18">
        <f>STDEV('Datos_Detalle'!G$212:G$241)</f>
        <v/>
      </c>
      <c r="P9" s="7">
        <f>TEXT(N9,"0.000")&amp;" ± "&amp;TEXT(O9,"0.000")</f>
        <v/>
      </c>
      <c r="Q9" s="19">
        <f>AVERAGEIF('Datos_Detalle'!$A$212:$A$241,A9,'Datos_Detalle'!H$212:H$241)</f>
        <v/>
      </c>
      <c r="R9" s="19">
        <f>STDEV('Datos_Detalle'!H$212:H$241)</f>
        <v/>
      </c>
      <c r="S9" s="7">
        <f>TEXT(Q9,"0.0000")&amp;" ± "&amp;TEXT(R9,"0.0000")</f>
        <v/>
      </c>
      <c r="T9" s="20">
        <f>AVERAGEIF('Datos_Detalle'!$A$212:$A$241,A9,'Datos_Detalle'!I$212:I$241)</f>
        <v/>
      </c>
      <c r="U9" s="20">
        <f>STDEV('Datos_Detalle'!I$212:I$241)</f>
        <v/>
      </c>
      <c r="V9" s="7">
        <f>TEXT(T9,"0")&amp;" ± "&amp;TEXT(U9,"0")</f>
        <v/>
      </c>
      <c r="W9" s="17">
        <f>AVERAGEIF('Datos_Detalle'!$A$212:$A$241,A9,'Datos_Detalle'!J$212:J$241)</f>
        <v/>
      </c>
      <c r="X9" s="17">
        <f>STDEV('Datos_Detalle'!J$212:J$241)</f>
        <v/>
      </c>
      <c r="Y9" s="7">
        <f>TEXT(W9,"0.00")&amp;" ± "&amp;TEXT(X9,"0.00")</f>
        <v/>
      </c>
      <c r="Z9" s="19">
        <f>AVERAGEIF('Datos_Detalle'!$A$212:$A$241,A9,'Datos_Detalle'!K$212:K$241)</f>
        <v/>
      </c>
      <c r="AA9" s="19">
        <f>STDEV('Datos_Detalle'!K$212:K$241)</f>
        <v/>
      </c>
      <c r="AB9" s="7">
        <f>TEXT(Z9,"0.0000")&amp;" ± "&amp;TEXT(AA9,"0.0000")</f>
        <v/>
      </c>
      <c r="AC9" s="19">
        <f>AVERAGEIF('Datos_Detalle'!$A$212:$A$241,A9,'Datos_Detalle'!L$212:L$241)</f>
        <v/>
      </c>
      <c r="AD9" s="19">
        <f>STDEV('Datos_Detalle'!L$212:L$241)</f>
        <v/>
      </c>
      <c r="AE9" s="7">
        <f>TEXT(AC9,"0.0000")&amp;" ± "&amp;TEXT(AD9,"0.0000")</f>
        <v/>
      </c>
      <c r="AF9" s="21" t="inlineStr">
        <is>
          <t>8.txt</t>
        </is>
      </c>
    </row>
    <row r="10">
      <c r="A10" s="7" t="n">
        <v>9</v>
      </c>
      <c r="B10" s="7" t="n">
        <v>16</v>
      </c>
      <c r="C10" s="7" t="n">
        <v>3</v>
      </c>
      <c r="D10" s="7" t="inlineStr">
        <is>
          <t>Emergent (EA)</t>
        </is>
      </c>
      <c r="E10" s="7" t="n">
        <v>30</v>
      </c>
      <c r="F10" s="7" t="n">
        <v>0.3</v>
      </c>
      <c r="G10" s="7" t="n">
        <v>1</v>
      </c>
      <c r="H10" s="7" t="n">
        <v>1.6</v>
      </c>
      <c r="I10" s="7" t="n">
        <v>2.4</v>
      </c>
      <c r="J10" s="7" t="n">
        <v>0.6</v>
      </c>
      <c r="K10" s="17">
        <f>AVERAGEIF('Datos_Detalle'!$A$242:$A$271,A10,'Datos_Detalle'!F$242:F$271)</f>
        <v/>
      </c>
      <c r="L10" s="17">
        <f>STDEV('Datos_Detalle'!F$242:F$271)</f>
        <v/>
      </c>
      <c r="M10" s="7">
        <f>TEXT(K10,"0.00")&amp;" ± "&amp;TEXT(L10,"0.00")</f>
        <v/>
      </c>
      <c r="N10" s="18">
        <f>AVERAGEIF('Datos_Detalle'!$A$242:$A$271,A10,'Datos_Detalle'!G$242:G$271)</f>
        <v/>
      </c>
      <c r="O10" s="18">
        <f>STDEV('Datos_Detalle'!G$242:G$271)</f>
        <v/>
      </c>
      <c r="P10" s="7">
        <f>TEXT(N10,"0.000")&amp;" ± "&amp;TEXT(O10,"0.000")</f>
        <v/>
      </c>
      <c r="Q10" s="19">
        <f>AVERAGEIF('Datos_Detalle'!$A$242:$A$271,A10,'Datos_Detalle'!H$242:H$271)</f>
        <v/>
      </c>
      <c r="R10" s="19">
        <f>STDEV('Datos_Detalle'!H$242:H$271)</f>
        <v/>
      </c>
      <c r="S10" s="7">
        <f>TEXT(Q10,"0.0000")&amp;" ± "&amp;TEXT(R10,"0.0000")</f>
        <v/>
      </c>
      <c r="T10" s="20">
        <f>AVERAGEIF('Datos_Detalle'!$A$242:$A$271,A10,'Datos_Detalle'!I$242:I$271)</f>
        <v/>
      </c>
      <c r="U10" s="20">
        <f>STDEV('Datos_Detalle'!I$242:I$271)</f>
        <v/>
      </c>
      <c r="V10" s="7">
        <f>TEXT(T10,"0")&amp;" ± "&amp;TEXT(U10,"0")</f>
        <v/>
      </c>
      <c r="W10" s="17">
        <f>AVERAGEIF('Datos_Detalle'!$A$242:$A$271,A10,'Datos_Detalle'!J$242:J$271)</f>
        <v/>
      </c>
      <c r="X10" s="17">
        <f>STDEV('Datos_Detalle'!J$242:J$271)</f>
        <v/>
      </c>
      <c r="Y10" s="7">
        <f>TEXT(W10,"0.00")&amp;" ± "&amp;TEXT(X10,"0.00")</f>
        <v/>
      </c>
      <c r="Z10" s="19">
        <f>AVERAGEIF('Datos_Detalle'!$A$242:$A$271,A10,'Datos_Detalle'!K$242:K$271)</f>
        <v/>
      </c>
      <c r="AA10" s="19">
        <f>STDEV('Datos_Detalle'!K$242:K$271)</f>
        <v/>
      </c>
      <c r="AB10" s="7">
        <f>TEXT(Z10,"0.0000")&amp;" ± "&amp;TEXT(AA10,"0.0000")</f>
        <v/>
      </c>
      <c r="AC10" s="19">
        <f>AVERAGEIF('Datos_Detalle'!$A$242:$A$271,A10,'Datos_Detalle'!L$242:L$271)</f>
        <v/>
      </c>
      <c r="AD10" s="19">
        <f>STDEV('Datos_Detalle'!L$242:L$271)</f>
        <v/>
      </c>
      <c r="AE10" s="7">
        <f>TEXT(AC10,"0.0000")&amp;" ± "&amp;TEXT(AD10,"0.0000")</f>
        <v/>
      </c>
      <c r="AF10" s="21" t="inlineStr">
        <is>
          <t>1.txt</t>
        </is>
      </c>
    </row>
    <row r="11">
      <c r="A11" s="12" t="n">
        <v>10</v>
      </c>
      <c r="B11" s="12" t="n">
        <v>8</v>
      </c>
      <c r="C11" s="12" t="n">
        <v>1</v>
      </c>
      <c r="D11" s="12" t="inlineStr">
        <is>
          <t>Focused (FA)</t>
        </is>
      </c>
      <c r="E11" s="12" t="n">
        <v>30</v>
      </c>
      <c r="F11" s="12" t="n">
        <v>0.3</v>
      </c>
      <c r="G11" s="12" t="n">
        <v>1</v>
      </c>
      <c r="H11" s="12" t="n">
        <v>1.6</v>
      </c>
      <c r="I11" s="12" t="n">
        <v>2.4</v>
      </c>
      <c r="J11" s="12" t="n">
        <v>0.6</v>
      </c>
      <c r="K11" s="22">
        <f>AVERAGEIF('Datos_Detalle'!$A$272:$A$301,A11,'Datos_Detalle'!F$272:F$301)</f>
        <v/>
      </c>
      <c r="L11" s="22">
        <f>STDEV('Datos_Detalle'!F$272:F$301)</f>
        <v/>
      </c>
      <c r="M11" s="12">
        <f>TEXT(K11,"0.00")&amp;" ± "&amp;TEXT(L11,"0.00")</f>
        <v/>
      </c>
      <c r="N11" s="23">
        <f>AVERAGEIF('Datos_Detalle'!$A$272:$A$301,A11,'Datos_Detalle'!G$272:G$301)</f>
        <v/>
      </c>
      <c r="O11" s="23">
        <f>STDEV('Datos_Detalle'!G$272:G$301)</f>
        <v/>
      </c>
      <c r="P11" s="12">
        <f>TEXT(N11,"0.000")&amp;" ± "&amp;TEXT(O11,"0.000")</f>
        <v/>
      </c>
      <c r="Q11" s="24">
        <f>AVERAGEIF('Datos_Detalle'!$A$272:$A$301,A11,'Datos_Detalle'!H$272:H$301)</f>
        <v/>
      </c>
      <c r="R11" s="24">
        <f>STDEV('Datos_Detalle'!H$272:H$301)</f>
        <v/>
      </c>
      <c r="S11" s="12">
        <f>TEXT(Q11,"0.0000")&amp;" ± "&amp;TEXT(R11,"0.0000")</f>
        <v/>
      </c>
      <c r="T11" s="25">
        <f>AVERAGEIF('Datos_Detalle'!$A$272:$A$301,A11,'Datos_Detalle'!I$272:I$301)</f>
        <v/>
      </c>
      <c r="U11" s="25">
        <f>STDEV('Datos_Detalle'!I$272:I$301)</f>
        <v/>
      </c>
      <c r="V11" s="12">
        <f>TEXT(T11,"0")&amp;" ± "&amp;TEXT(U11,"0")</f>
        <v/>
      </c>
      <c r="W11" s="22">
        <f>AVERAGEIF('Datos_Detalle'!$A$272:$A$301,A11,'Datos_Detalle'!J$272:J$301)</f>
        <v/>
      </c>
      <c r="X11" s="22">
        <f>STDEV('Datos_Detalle'!J$272:J$301)</f>
        <v/>
      </c>
      <c r="Y11" s="12">
        <f>TEXT(W11,"0.00")&amp;" ± "&amp;TEXT(X11,"0.00")</f>
        <v/>
      </c>
      <c r="Z11" s="24">
        <f>AVERAGEIF('Datos_Detalle'!$A$272:$A$301,A11,'Datos_Detalle'!K$272:K$301)</f>
        <v/>
      </c>
      <c r="AA11" s="24">
        <f>STDEV('Datos_Detalle'!K$272:K$301)</f>
        <v/>
      </c>
      <c r="AB11" s="12">
        <f>TEXT(Z11,"0.0000")&amp;" ± "&amp;TEXT(AA11,"0.0000")</f>
        <v/>
      </c>
      <c r="AC11" s="24">
        <f>AVERAGEIF('Datos_Detalle'!$A$272:$A$301,A11,'Datos_Detalle'!L$272:L$301)</f>
        <v/>
      </c>
      <c r="AD11" s="24">
        <f>STDEV('Datos_Detalle'!L$272:L$301)</f>
        <v/>
      </c>
      <c r="AE11" s="12">
        <f>TEXT(AC11,"0.0000")&amp;" ± "&amp;TEXT(AD11,"0.0000")</f>
        <v/>
      </c>
      <c r="AF11" s="26" t="inlineStr">
        <is>
          <t>2.txt</t>
        </is>
      </c>
    </row>
    <row r="12">
      <c r="A12" s="12" t="n">
        <v>11</v>
      </c>
      <c r="B12" s="12" t="n">
        <v>8</v>
      </c>
      <c r="C12" s="12" t="n">
        <v>2</v>
      </c>
      <c r="D12" s="12" t="inlineStr">
        <is>
          <t>Focused (FA)</t>
        </is>
      </c>
      <c r="E12" s="12" t="n">
        <v>30</v>
      </c>
      <c r="F12" s="12" t="n">
        <v>0.3</v>
      </c>
      <c r="G12" s="12" t="n">
        <v>1</v>
      </c>
      <c r="H12" s="12" t="n">
        <v>1.6</v>
      </c>
      <c r="I12" s="12" t="n">
        <v>2.4</v>
      </c>
      <c r="J12" s="12" t="n">
        <v>0.6</v>
      </c>
      <c r="K12" s="22">
        <f>AVERAGEIF('Datos_Detalle'!$A$302:$A$331,A12,'Datos_Detalle'!F$302:F$331)</f>
        <v/>
      </c>
      <c r="L12" s="22">
        <f>STDEV('Datos_Detalle'!F$302:F$331)</f>
        <v/>
      </c>
      <c r="M12" s="12">
        <f>TEXT(K12,"0.00")&amp;" ± "&amp;TEXT(L12,"0.00")</f>
        <v/>
      </c>
      <c r="N12" s="23">
        <f>AVERAGEIF('Datos_Detalle'!$A$302:$A$331,A12,'Datos_Detalle'!G$302:G$331)</f>
        <v/>
      </c>
      <c r="O12" s="23">
        <f>STDEV('Datos_Detalle'!G$302:G$331)</f>
        <v/>
      </c>
      <c r="P12" s="12">
        <f>TEXT(N12,"0.000")&amp;" ± "&amp;TEXT(O12,"0.000")</f>
        <v/>
      </c>
      <c r="Q12" s="24">
        <f>AVERAGEIF('Datos_Detalle'!$A$302:$A$331,A12,'Datos_Detalle'!H$302:H$331)</f>
        <v/>
      </c>
      <c r="R12" s="24">
        <f>STDEV('Datos_Detalle'!H$302:H$331)</f>
        <v/>
      </c>
      <c r="S12" s="12">
        <f>TEXT(Q12,"0.0000")&amp;" ± "&amp;TEXT(R12,"0.0000")</f>
        <v/>
      </c>
      <c r="T12" s="25">
        <f>AVERAGEIF('Datos_Detalle'!$A$302:$A$331,A12,'Datos_Detalle'!I$302:I$331)</f>
        <v/>
      </c>
      <c r="U12" s="25">
        <f>STDEV('Datos_Detalle'!I$302:I$331)</f>
        <v/>
      </c>
      <c r="V12" s="12">
        <f>TEXT(T12,"0")&amp;" ± "&amp;TEXT(U12,"0")</f>
        <v/>
      </c>
      <c r="W12" s="22">
        <f>AVERAGEIF('Datos_Detalle'!$A$302:$A$331,A12,'Datos_Detalle'!J$302:J$331)</f>
        <v/>
      </c>
      <c r="X12" s="22">
        <f>STDEV('Datos_Detalle'!J$302:J$331)</f>
        <v/>
      </c>
      <c r="Y12" s="12">
        <f>TEXT(W12,"0.00")&amp;" ± "&amp;TEXT(X12,"0.00")</f>
        <v/>
      </c>
      <c r="Z12" s="24">
        <f>AVERAGEIF('Datos_Detalle'!$A$302:$A$331,A12,'Datos_Detalle'!K$302:K$331)</f>
        <v/>
      </c>
      <c r="AA12" s="24">
        <f>STDEV('Datos_Detalle'!K$302:K$331)</f>
        <v/>
      </c>
      <c r="AB12" s="12">
        <f>TEXT(Z12,"0.0000")&amp;" ± "&amp;TEXT(AA12,"0.0000")</f>
        <v/>
      </c>
      <c r="AC12" s="24">
        <f>AVERAGEIF('Datos_Detalle'!$A$302:$A$331,A12,'Datos_Detalle'!L$302:L$331)</f>
        <v/>
      </c>
      <c r="AD12" s="24">
        <f>STDEV('Datos_Detalle'!L$302:L$331)</f>
        <v/>
      </c>
      <c r="AE12" s="12">
        <f>TEXT(AC12,"0.0000")&amp;" ± "&amp;TEXT(AD12,"0.0000")</f>
        <v/>
      </c>
      <c r="AF12" s="26" t="inlineStr">
        <is>
          <t>3.txt</t>
        </is>
      </c>
    </row>
    <row r="13">
      <c r="A13" s="12" t="n">
        <v>12</v>
      </c>
      <c r="B13" s="12" t="n">
        <v>8</v>
      </c>
      <c r="C13" s="12" t="n">
        <v>3</v>
      </c>
      <c r="D13" s="12" t="inlineStr">
        <is>
          <t>Focused (FA)</t>
        </is>
      </c>
      <c r="E13" s="12" t="n">
        <v>30</v>
      </c>
      <c r="F13" s="12" t="n">
        <v>0.3</v>
      </c>
      <c r="G13" s="12" t="n">
        <v>1</v>
      </c>
      <c r="H13" s="12" t="n">
        <v>1.6</v>
      </c>
      <c r="I13" s="12" t="n">
        <v>2.4</v>
      </c>
      <c r="J13" s="12" t="n">
        <v>0.6</v>
      </c>
      <c r="K13" s="22">
        <f>AVERAGEIF('Datos_Detalle'!$A$332:$A$361,A13,'Datos_Detalle'!F$332:F$361)</f>
        <v/>
      </c>
      <c r="L13" s="22">
        <f>STDEV('Datos_Detalle'!F$332:F$361)</f>
        <v/>
      </c>
      <c r="M13" s="12">
        <f>TEXT(K13,"0.00")&amp;" ± "&amp;TEXT(L13,"0.00")</f>
        <v/>
      </c>
      <c r="N13" s="23">
        <f>AVERAGEIF('Datos_Detalle'!$A$332:$A$361,A13,'Datos_Detalle'!G$332:G$361)</f>
        <v/>
      </c>
      <c r="O13" s="23">
        <f>STDEV('Datos_Detalle'!G$332:G$361)</f>
        <v/>
      </c>
      <c r="P13" s="12">
        <f>TEXT(N13,"0.000")&amp;" ± "&amp;TEXT(O13,"0.000")</f>
        <v/>
      </c>
      <c r="Q13" s="24">
        <f>AVERAGEIF('Datos_Detalle'!$A$332:$A$361,A13,'Datos_Detalle'!H$332:H$361)</f>
        <v/>
      </c>
      <c r="R13" s="24">
        <f>STDEV('Datos_Detalle'!H$332:H$361)</f>
        <v/>
      </c>
      <c r="S13" s="12">
        <f>TEXT(Q13,"0.0000")&amp;" ± "&amp;TEXT(R13,"0.0000")</f>
        <v/>
      </c>
      <c r="T13" s="25">
        <f>AVERAGEIF('Datos_Detalle'!$A$332:$A$361,A13,'Datos_Detalle'!I$332:I$361)</f>
        <v/>
      </c>
      <c r="U13" s="25">
        <f>STDEV('Datos_Detalle'!I$332:I$361)</f>
        <v/>
      </c>
      <c r="V13" s="12">
        <f>TEXT(T13,"0")&amp;" ± "&amp;TEXT(U13,"0")</f>
        <v/>
      </c>
      <c r="W13" s="22">
        <f>AVERAGEIF('Datos_Detalle'!$A$332:$A$361,A13,'Datos_Detalle'!J$332:J$361)</f>
        <v/>
      </c>
      <c r="X13" s="22">
        <f>STDEV('Datos_Detalle'!J$332:J$361)</f>
        <v/>
      </c>
      <c r="Y13" s="12">
        <f>TEXT(W13,"0.00")&amp;" ± "&amp;TEXT(X13,"0.00")</f>
        <v/>
      </c>
      <c r="Z13" s="24">
        <f>AVERAGEIF('Datos_Detalle'!$A$332:$A$361,A13,'Datos_Detalle'!K$332:K$361)</f>
        <v/>
      </c>
      <c r="AA13" s="24">
        <f>STDEV('Datos_Detalle'!K$332:K$361)</f>
        <v/>
      </c>
      <c r="AB13" s="12">
        <f>TEXT(Z13,"0.0000")&amp;" ± "&amp;TEXT(AA13,"0.0000")</f>
        <v/>
      </c>
      <c r="AC13" s="24">
        <f>AVERAGEIF('Datos_Detalle'!$A$332:$A$361,A13,'Datos_Detalle'!L$332:L$361)</f>
        <v/>
      </c>
      <c r="AD13" s="24">
        <f>STDEV('Datos_Detalle'!L$332:L$361)</f>
        <v/>
      </c>
      <c r="AE13" s="12">
        <f>TEXT(AC13,"0.0000")&amp;" ± "&amp;TEXT(AD13,"0.0000")</f>
        <v/>
      </c>
      <c r="AF13" s="26" t="inlineStr">
        <is>
          <t>4.txt</t>
        </is>
      </c>
    </row>
    <row r="14">
      <c r="A14" s="12" t="n">
        <v>13</v>
      </c>
      <c r="B14" s="12" t="n">
        <v>12</v>
      </c>
      <c r="C14" s="12" t="n">
        <v>1</v>
      </c>
      <c r="D14" s="12" t="inlineStr">
        <is>
          <t>Focused (FA)</t>
        </is>
      </c>
      <c r="E14" s="12" t="n">
        <v>30</v>
      </c>
      <c r="F14" s="12" t="n">
        <v>0.3</v>
      </c>
      <c r="G14" s="12" t="n">
        <v>1</v>
      </c>
      <c r="H14" s="12" t="n">
        <v>1.6</v>
      </c>
      <c r="I14" s="12" t="n">
        <v>2.4</v>
      </c>
      <c r="J14" s="12" t="n">
        <v>0.6</v>
      </c>
      <c r="K14" s="22">
        <f>AVERAGEIF('Datos_Detalle'!$A$362:$A$391,A14,'Datos_Detalle'!F$362:F$391)</f>
        <v/>
      </c>
      <c r="L14" s="22">
        <f>STDEV('Datos_Detalle'!F$362:F$391)</f>
        <v/>
      </c>
      <c r="M14" s="12">
        <f>TEXT(K14,"0.00")&amp;" ± "&amp;TEXT(L14,"0.00")</f>
        <v/>
      </c>
      <c r="N14" s="23">
        <f>AVERAGEIF('Datos_Detalle'!$A$362:$A$391,A14,'Datos_Detalle'!G$362:G$391)</f>
        <v/>
      </c>
      <c r="O14" s="23">
        <f>STDEV('Datos_Detalle'!G$362:G$391)</f>
        <v/>
      </c>
      <c r="P14" s="12">
        <f>TEXT(N14,"0.000")&amp;" ± "&amp;TEXT(O14,"0.000")</f>
        <v/>
      </c>
      <c r="Q14" s="24">
        <f>AVERAGEIF('Datos_Detalle'!$A$362:$A$391,A14,'Datos_Detalle'!H$362:H$391)</f>
        <v/>
      </c>
      <c r="R14" s="24">
        <f>STDEV('Datos_Detalle'!H$362:H$391)</f>
        <v/>
      </c>
      <c r="S14" s="12">
        <f>TEXT(Q14,"0.0000")&amp;" ± "&amp;TEXT(R14,"0.0000")</f>
        <v/>
      </c>
      <c r="T14" s="25">
        <f>AVERAGEIF('Datos_Detalle'!$A$362:$A$391,A14,'Datos_Detalle'!I$362:I$391)</f>
        <v/>
      </c>
      <c r="U14" s="25">
        <f>STDEV('Datos_Detalle'!I$362:I$391)</f>
        <v/>
      </c>
      <c r="V14" s="12">
        <f>TEXT(T14,"0")&amp;" ± "&amp;TEXT(U14,"0")</f>
        <v/>
      </c>
      <c r="W14" s="22">
        <f>AVERAGEIF('Datos_Detalle'!$A$362:$A$391,A14,'Datos_Detalle'!J$362:J$391)</f>
        <v/>
      </c>
      <c r="X14" s="22">
        <f>STDEV('Datos_Detalle'!J$362:J$391)</f>
        <v/>
      </c>
      <c r="Y14" s="12">
        <f>TEXT(W14,"0.00")&amp;" ± "&amp;TEXT(X14,"0.00")</f>
        <v/>
      </c>
      <c r="Z14" s="24">
        <f>AVERAGEIF('Datos_Detalle'!$A$362:$A$391,A14,'Datos_Detalle'!K$362:K$391)</f>
        <v/>
      </c>
      <c r="AA14" s="24">
        <f>STDEV('Datos_Detalle'!K$362:K$391)</f>
        <v/>
      </c>
      <c r="AB14" s="12">
        <f>TEXT(Z14,"0.0000")&amp;" ± "&amp;TEXT(AA14,"0.0000")</f>
        <v/>
      </c>
      <c r="AC14" s="24">
        <f>AVERAGEIF('Datos_Detalle'!$A$362:$A$391,A14,'Datos_Detalle'!L$362:L$391)</f>
        <v/>
      </c>
      <c r="AD14" s="24">
        <f>STDEV('Datos_Detalle'!L$362:L$391)</f>
        <v/>
      </c>
      <c r="AE14" s="12">
        <f>TEXT(AC14,"0.0000")&amp;" ± "&amp;TEXT(AD14,"0.0000")</f>
        <v/>
      </c>
      <c r="AF14" s="26" t="inlineStr">
        <is>
          <t>5.txt</t>
        </is>
      </c>
    </row>
    <row r="15">
      <c r="A15" s="12" t="n">
        <v>14</v>
      </c>
      <c r="B15" s="12" t="n">
        <v>12</v>
      </c>
      <c r="C15" s="12" t="n">
        <v>2</v>
      </c>
      <c r="D15" s="12" t="inlineStr">
        <is>
          <t>Focused (FA)</t>
        </is>
      </c>
      <c r="E15" s="12" t="n">
        <v>30</v>
      </c>
      <c r="F15" s="12" t="n">
        <v>0.3</v>
      </c>
      <c r="G15" s="12" t="n">
        <v>1</v>
      </c>
      <c r="H15" s="12" t="n">
        <v>1.6</v>
      </c>
      <c r="I15" s="12" t="n">
        <v>2.4</v>
      </c>
      <c r="J15" s="12" t="n">
        <v>0.6</v>
      </c>
      <c r="K15" s="22">
        <f>AVERAGEIF('Datos_Detalle'!$A$392:$A$421,A15,'Datos_Detalle'!F$392:F$421)</f>
        <v/>
      </c>
      <c r="L15" s="22">
        <f>STDEV('Datos_Detalle'!F$392:F$421)</f>
        <v/>
      </c>
      <c r="M15" s="12">
        <f>TEXT(K15,"0.00")&amp;" ± "&amp;TEXT(L15,"0.00")</f>
        <v/>
      </c>
      <c r="N15" s="23">
        <f>AVERAGEIF('Datos_Detalle'!$A$392:$A$421,A15,'Datos_Detalle'!G$392:G$421)</f>
        <v/>
      </c>
      <c r="O15" s="23">
        <f>STDEV('Datos_Detalle'!G$392:G$421)</f>
        <v/>
      </c>
      <c r="P15" s="12">
        <f>TEXT(N15,"0.000")&amp;" ± "&amp;TEXT(O15,"0.000")</f>
        <v/>
      </c>
      <c r="Q15" s="24">
        <f>AVERAGEIF('Datos_Detalle'!$A$392:$A$421,A15,'Datos_Detalle'!H$392:H$421)</f>
        <v/>
      </c>
      <c r="R15" s="24">
        <f>STDEV('Datos_Detalle'!H$392:H$421)</f>
        <v/>
      </c>
      <c r="S15" s="12">
        <f>TEXT(Q15,"0.0000")&amp;" ± "&amp;TEXT(R15,"0.0000")</f>
        <v/>
      </c>
      <c r="T15" s="25">
        <f>AVERAGEIF('Datos_Detalle'!$A$392:$A$421,A15,'Datos_Detalle'!I$392:I$421)</f>
        <v/>
      </c>
      <c r="U15" s="25">
        <f>STDEV('Datos_Detalle'!I$392:I$421)</f>
        <v/>
      </c>
      <c r="V15" s="12">
        <f>TEXT(T15,"0")&amp;" ± "&amp;TEXT(U15,"0")</f>
        <v/>
      </c>
      <c r="W15" s="22">
        <f>AVERAGEIF('Datos_Detalle'!$A$392:$A$421,A15,'Datos_Detalle'!J$392:J$421)</f>
        <v/>
      </c>
      <c r="X15" s="22">
        <f>STDEV('Datos_Detalle'!J$392:J$421)</f>
        <v/>
      </c>
      <c r="Y15" s="12">
        <f>TEXT(W15,"0.00")&amp;" ± "&amp;TEXT(X15,"0.00")</f>
        <v/>
      </c>
      <c r="Z15" s="24">
        <f>AVERAGEIF('Datos_Detalle'!$A$392:$A$421,A15,'Datos_Detalle'!K$392:K$421)</f>
        <v/>
      </c>
      <c r="AA15" s="24">
        <f>STDEV('Datos_Detalle'!K$392:K$421)</f>
        <v/>
      </c>
      <c r="AB15" s="12">
        <f>TEXT(Z15,"0.0000")&amp;" ± "&amp;TEXT(AA15,"0.0000")</f>
        <v/>
      </c>
      <c r="AC15" s="24">
        <f>AVERAGEIF('Datos_Detalle'!$A$392:$A$421,A15,'Datos_Detalle'!L$392:L$421)</f>
        <v/>
      </c>
      <c r="AD15" s="24">
        <f>STDEV('Datos_Detalle'!L$392:L$421)</f>
        <v/>
      </c>
      <c r="AE15" s="12">
        <f>TEXT(AC15,"0.0000")&amp;" ± "&amp;TEXT(AD15,"0.0000")</f>
        <v/>
      </c>
      <c r="AF15" s="26" t="inlineStr">
        <is>
          <t>6.txt</t>
        </is>
      </c>
    </row>
    <row r="16">
      <c r="A16" s="12" t="n">
        <v>15</v>
      </c>
      <c r="B16" s="12" t="n">
        <v>12</v>
      </c>
      <c r="C16" s="12" t="n">
        <v>3</v>
      </c>
      <c r="D16" s="12" t="inlineStr">
        <is>
          <t>Focused (FA)</t>
        </is>
      </c>
      <c r="E16" s="12" t="n">
        <v>30</v>
      </c>
      <c r="F16" s="12" t="n">
        <v>0.3</v>
      </c>
      <c r="G16" s="12" t="n">
        <v>1</v>
      </c>
      <c r="H16" s="12" t="n">
        <v>1.6</v>
      </c>
      <c r="I16" s="12" t="n">
        <v>2.4</v>
      </c>
      <c r="J16" s="12" t="n">
        <v>0.6</v>
      </c>
      <c r="K16" s="22">
        <f>AVERAGEIF('Datos_Detalle'!$A$422:$A$451,A16,'Datos_Detalle'!F$422:F$451)</f>
        <v/>
      </c>
      <c r="L16" s="22">
        <f>STDEV('Datos_Detalle'!F$422:F$451)</f>
        <v/>
      </c>
      <c r="M16" s="12">
        <f>TEXT(K16,"0.00")&amp;" ± "&amp;TEXT(L16,"0.00")</f>
        <v/>
      </c>
      <c r="N16" s="23">
        <f>AVERAGEIF('Datos_Detalle'!$A$422:$A$451,A16,'Datos_Detalle'!G$422:G$451)</f>
        <v/>
      </c>
      <c r="O16" s="23">
        <f>STDEV('Datos_Detalle'!G$422:G$451)</f>
        <v/>
      </c>
      <c r="P16" s="12">
        <f>TEXT(N16,"0.000")&amp;" ± "&amp;TEXT(O16,"0.000")</f>
        <v/>
      </c>
      <c r="Q16" s="24">
        <f>AVERAGEIF('Datos_Detalle'!$A$422:$A$451,A16,'Datos_Detalle'!H$422:H$451)</f>
        <v/>
      </c>
      <c r="R16" s="24">
        <f>STDEV('Datos_Detalle'!H$422:H$451)</f>
        <v/>
      </c>
      <c r="S16" s="12">
        <f>TEXT(Q16,"0.0000")&amp;" ± "&amp;TEXT(R16,"0.0000")</f>
        <v/>
      </c>
      <c r="T16" s="25">
        <f>AVERAGEIF('Datos_Detalle'!$A$422:$A$451,A16,'Datos_Detalle'!I$422:I$451)</f>
        <v/>
      </c>
      <c r="U16" s="25">
        <f>STDEV('Datos_Detalle'!I$422:I$451)</f>
        <v/>
      </c>
      <c r="V16" s="12">
        <f>TEXT(T16,"0")&amp;" ± "&amp;TEXT(U16,"0")</f>
        <v/>
      </c>
      <c r="W16" s="22">
        <f>AVERAGEIF('Datos_Detalle'!$A$422:$A$451,A16,'Datos_Detalle'!J$422:J$451)</f>
        <v/>
      </c>
      <c r="X16" s="22">
        <f>STDEV('Datos_Detalle'!J$422:J$451)</f>
        <v/>
      </c>
      <c r="Y16" s="12">
        <f>TEXT(W16,"0.00")&amp;" ± "&amp;TEXT(X16,"0.00")</f>
        <v/>
      </c>
      <c r="Z16" s="24">
        <f>AVERAGEIF('Datos_Detalle'!$A$422:$A$451,A16,'Datos_Detalle'!K$422:K$451)</f>
        <v/>
      </c>
      <c r="AA16" s="24">
        <f>STDEV('Datos_Detalle'!K$422:K$451)</f>
        <v/>
      </c>
      <c r="AB16" s="12">
        <f>TEXT(Z16,"0.0000")&amp;" ± "&amp;TEXT(AA16,"0.0000")</f>
        <v/>
      </c>
      <c r="AC16" s="24">
        <f>AVERAGEIF('Datos_Detalle'!$A$422:$A$451,A16,'Datos_Detalle'!L$422:L$451)</f>
        <v/>
      </c>
      <c r="AD16" s="24">
        <f>STDEV('Datos_Detalle'!L$422:L$451)</f>
        <v/>
      </c>
      <c r="AE16" s="12">
        <f>TEXT(AC16,"0.0000")&amp;" ± "&amp;TEXT(AD16,"0.0000")</f>
        <v/>
      </c>
      <c r="AF16" s="26" t="inlineStr">
        <is>
          <t>7.txt</t>
        </is>
      </c>
    </row>
    <row r="17">
      <c r="A17" s="12" t="n">
        <v>16</v>
      </c>
      <c r="B17" s="12" t="n">
        <v>16</v>
      </c>
      <c r="C17" s="12" t="n">
        <v>1</v>
      </c>
      <c r="D17" s="12" t="inlineStr">
        <is>
          <t>Focused (FA)</t>
        </is>
      </c>
      <c r="E17" s="12" t="n">
        <v>30</v>
      </c>
      <c r="F17" s="12" t="n">
        <v>0.3</v>
      </c>
      <c r="G17" s="12" t="n">
        <v>1</v>
      </c>
      <c r="H17" s="12" t="n">
        <v>1.6</v>
      </c>
      <c r="I17" s="12" t="n">
        <v>2.4</v>
      </c>
      <c r="J17" s="12" t="n">
        <v>0.6</v>
      </c>
      <c r="K17" s="22">
        <f>AVERAGEIF('Datos_Detalle'!$A$452:$A$481,A17,'Datos_Detalle'!F$452:F$481)</f>
        <v/>
      </c>
      <c r="L17" s="22">
        <f>STDEV('Datos_Detalle'!F$452:F$481)</f>
        <v/>
      </c>
      <c r="M17" s="12">
        <f>TEXT(K17,"0.00")&amp;" ± "&amp;TEXT(L17,"0.00")</f>
        <v/>
      </c>
      <c r="N17" s="23">
        <f>AVERAGEIF('Datos_Detalle'!$A$452:$A$481,A17,'Datos_Detalle'!G$452:G$481)</f>
        <v/>
      </c>
      <c r="O17" s="23">
        <f>STDEV('Datos_Detalle'!G$452:G$481)</f>
        <v/>
      </c>
      <c r="P17" s="12">
        <f>TEXT(N17,"0.000")&amp;" ± "&amp;TEXT(O17,"0.000")</f>
        <v/>
      </c>
      <c r="Q17" s="24">
        <f>AVERAGEIF('Datos_Detalle'!$A$452:$A$481,A17,'Datos_Detalle'!H$452:H$481)</f>
        <v/>
      </c>
      <c r="R17" s="24">
        <f>STDEV('Datos_Detalle'!H$452:H$481)</f>
        <v/>
      </c>
      <c r="S17" s="12">
        <f>TEXT(Q17,"0.0000")&amp;" ± "&amp;TEXT(R17,"0.0000")</f>
        <v/>
      </c>
      <c r="T17" s="25">
        <f>AVERAGEIF('Datos_Detalle'!$A$452:$A$481,A17,'Datos_Detalle'!I$452:I$481)</f>
        <v/>
      </c>
      <c r="U17" s="25">
        <f>STDEV('Datos_Detalle'!I$452:I$481)</f>
        <v/>
      </c>
      <c r="V17" s="12">
        <f>TEXT(T17,"0")&amp;" ± "&amp;TEXT(U17,"0")</f>
        <v/>
      </c>
      <c r="W17" s="22">
        <f>AVERAGEIF('Datos_Detalle'!$A$452:$A$481,A17,'Datos_Detalle'!J$452:J$481)</f>
        <v/>
      </c>
      <c r="X17" s="22">
        <f>STDEV('Datos_Detalle'!J$452:J$481)</f>
        <v/>
      </c>
      <c r="Y17" s="12">
        <f>TEXT(W17,"0.00")&amp;" ± "&amp;TEXT(X17,"0.00")</f>
        <v/>
      </c>
      <c r="Z17" s="24">
        <f>AVERAGEIF('Datos_Detalle'!$A$452:$A$481,A17,'Datos_Detalle'!K$452:K$481)</f>
        <v/>
      </c>
      <c r="AA17" s="24">
        <f>STDEV('Datos_Detalle'!K$452:K$481)</f>
        <v/>
      </c>
      <c r="AB17" s="12">
        <f>TEXT(Z17,"0.0000")&amp;" ± "&amp;TEXT(AA17,"0.0000")</f>
        <v/>
      </c>
      <c r="AC17" s="24">
        <f>AVERAGEIF('Datos_Detalle'!$A$452:$A$481,A17,'Datos_Detalle'!L$452:L$481)</f>
        <v/>
      </c>
      <c r="AD17" s="24">
        <f>STDEV('Datos_Detalle'!L$452:L$481)</f>
        <v/>
      </c>
      <c r="AE17" s="12">
        <f>TEXT(AC17,"0.0000")&amp;" ± "&amp;TEXT(AD17,"0.0000")</f>
        <v/>
      </c>
      <c r="AF17" s="26" t="inlineStr">
        <is>
          <t>8.txt</t>
        </is>
      </c>
    </row>
    <row r="18">
      <c r="A18" s="12" t="n">
        <v>17</v>
      </c>
      <c r="B18" s="12" t="n">
        <v>16</v>
      </c>
      <c r="C18" s="12" t="n">
        <v>2</v>
      </c>
      <c r="D18" s="12" t="inlineStr">
        <is>
          <t>Focused (FA)</t>
        </is>
      </c>
      <c r="E18" s="12" t="n">
        <v>30</v>
      </c>
      <c r="F18" s="12" t="n">
        <v>0.3</v>
      </c>
      <c r="G18" s="12" t="n">
        <v>1</v>
      </c>
      <c r="H18" s="12" t="n">
        <v>1.6</v>
      </c>
      <c r="I18" s="12" t="n">
        <v>2.4</v>
      </c>
      <c r="J18" s="12" t="n">
        <v>0.6</v>
      </c>
      <c r="K18" s="22">
        <f>AVERAGEIF('Datos_Detalle'!$A$482:$A$511,A18,'Datos_Detalle'!F$482:F$511)</f>
        <v/>
      </c>
      <c r="L18" s="22">
        <f>STDEV('Datos_Detalle'!F$482:F$511)</f>
        <v/>
      </c>
      <c r="M18" s="12">
        <f>TEXT(K18,"0.00")&amp;" ± "&amp;TEXT(L18,"0.00")</f>
        <v/>
      </c>
      <c r="N18" s="23">
        <f>AVERAGEIF('Datos_Detalle'!$A$482:$A$511,A18,'Datos_Detalle'!G$482:G$511)</f>
        <v/>
      </c>
      <c r="O18" s="23">
        <f>STDEV('Datos_Detalle'!G$482:G$511)</f>
        <v/>
      </c>
      <c r="P18" s="12">
        <f>TEXT(N18,"0.000")&amp;" ± "&amp;TEXT(O18,"0.000")</f>
        <v/>
      </c>
      <c r="Q18" s="24">
        <f>AVERAGEIF('Datos_Detalle'!$A$482:$A$511,A18,'Datos_Detalle'!H$482:H$511)</f>
        <v/>
      </c>
      <c r="R18" s="24">
        <f>STDEV('Datos_Detalle'!H$482:H$511)</f>
        <v/>
      </c>
      <c r="S18" s="12">
        <f>TEXT(Q18,"0.0000")&amp;" ± "&amp;TEXT(R18,"0.0000")</f>
        <v/>
      </c>
      <c r="T18" s="25">
        <f>AVERAGEIF('Datos_Detalle'!$A$482:$A$511,A18,'Datos_Detalle'!I$482:I$511)</f>
        <v/>
      </c>
      <c r="U18" s="25">
        <f>STDEV('Datos_Detalle'!I$482:I$511)</f>
        <v/>
      </c>
      <c r="V18" s="12">
        <f>TEXT(T18,"0")&amp;" ± "&amp;TEXT(U18,"0")</f>
        <v/>
      </c>
      <c r="W18" s="22">
        <f>AVERAGEIF('Datos_Detalle'!$A$482:$A$511,A18,'Datos_Detalle'!J$482:J$511)</f>
        <v/>
      </c>
      <c r="X18" s="22">
        <f>STDEV('Datos_Detalle'!J$482:J$511)</f>
        <v/>
      </c>
      <c r="Y18" s="12">
        <f>TEXT(W18,"0.00")&amp;" ± "&amp;TEXT(X18,"0.00")</f>
        <v/>
      </c>
      <c r="Z18" s="24">
        <f>AVERAGEIF('Datos_Detalle'!$A$482:$A$511,A18,'Datos_Detalle'!K$482:K$511)</f>
        <v/>
      </c>
      <c r="AA18" s="24">
        <f>STDEV('Datos_Detalle'!K$482:K$511)</f>
        <v/>
      </c>
      <c r="AB18" s="12">
        <f>TEXT(Z18,"0.0000")&amp;" ± "&amp;TEXT(AA18,"0.0000")</f>
        <v/>
      </c>
      <c r="AC18" s="24">
        <f>AVERAGEIF('Datos_Detalle'!$A$482:$A$511,A18,'Datos_Detalle'!L$482:L$511)</f>
        <v/>
      </c>
      <c r="AD18" s="24">
        <f>STDEV('Datos_Detalle'!L$482:L$511)</f>
        <v/>
      </c>
      <c r="AE18" s="12">
        <f>TEXT(AC18,"0.0000")&amp;" ± "&amp;TEXT(AD18,"0.0000")</f>
        <v/>
      </c>
      <c r="AF18" s="26" t="inlineStr">
        <is>
          <t>1.txt</t>
        </is>
      </c>
    </row>
    <row r="19">
      <c r="A19" s="12" t="n">
        <v>18</v>
      </c>
      <c r="B19" s="12" t="n">
        <v>16</v>
      </c>
      <c r="C19" s="12" t="n">
        <v>3</v>
      </c>
      <c r="D19" s="12" t="inlineStr">
        <is>
          <t>Focused (FA)</t>
        </is>
      </c>
      <c r="E19" s="12" t="n">
        <v>30</v>
      </c>
      <c r="F19" s="12" t="n">
        <v>0.3</v>
      </c>
      <c r="G19" s="12" t="n">
        <v>1</v>
      </c>
      <c r="H19" s="12" t="n">
        <v>1.6</v>
      </c>
      <c r="I19" s="12" t="n">
        <v>2.4</v>
      </c>
      <c r="J19" s="12" t="n">
        <v>0.6</v>
      </c>
      <c r="K19" s="22">
        <f>AVERAGEIF('Datos_Detalle'!$A$512:$A$541,A19,'Datos_Detalle'!F$512:F$541)</f>
        <v/>
      </c>
      <c r="L19" s="22">
        <f>STDEV('Datos_Detalle'!F$512:F$541)</f>
        <v/>
      </c>
      <c r="M19" s="12">
        <f>TEXT(K19,"0.00")&amp;" ± "&amp;TEXT(L19,"0.00")</f>
        <v/>
      </c>
      <c r="N19" s="23">
        <f>AVERAGEIF('Datos_Detalle'!$A$512:$A$541,A19,'Datos_Detalle'!G$512:G$541)</f>
        <v/>
      </c>
      <c r="O19" s="23">
        <f>STDEV('Datos_Detalle'!G$512:G$541)</f>
        <v/>
      </c>
      <c r="P19" s="12">
        <f>TEXT(N19,"0.000")&amp;" ± "&amp;TEXT(O19,"0.000")</f>
        <v/>
      </c>
      <c r="Q19" s="24">
        <f>AVERAGEIF('Datos_Detalle'!$A$512:$A$541,A19,'Datos_Detalle'!H$512:H$541)</f>
        <v/>
      </c>
      <c r="R19" s="24">
        <f>STDEV('Datos_Detalle'!H$512:H$541)</f>
        <v/>
      </c>
      <c r="S19" s="12">
        <f>TEXT(Q19,"0.0000")&amp;" ± "&amp;TEXT(R19,"0.0000")</f>
        <v/>
      </c>
      <c r="T19" s="25">
        <f>AVERAGEIF('Datos_Detalle'!$A$512:$A$541,A19,'Datos_Detalle'!I$512:I$541)</f>
        <v/>
      </c>
      <c r="U19" s="25">
        <f>STDEV('Datos_Detalle'!I$512:I$541)</f>
        <v/>
      </c>
      <c r="V19" s="12">
        <f>TEXT(T19,"0")&amp;" ± "&amp;TEXT(U19,"0")</f>
        <v/>
      </c>
      <c r="W19" s="22">
        <f>AVERAGEIF('Datos_Detalle'!$A$512:$A$541,A19,'Datos_Detalle'!J$512:J$541)</f>
        <v/>
      </c>
      <c r="X19" s="22">
        <f>STDEV('Datos_Detalle'!J$512:J$541)</f>
        <v/>
      </c>
      <c r="Y19" s="12">
        <f>TEXT(W19,"0.00")&amp;" ± "&amp;TEXT(X19,"0.00")</f>
        <v/>
      </c>
      <c r="Z19" s="24">
        <f>AVERAGEIF('Datos_Detalle'!$A$512:$A$541,A19,'Datos_Detalle'!K$512:K$541)</f>
        <v/>
      </c>
      <c r="AA19" s="24">
        <f>STDEV('Datos_Detalle'!K$512:K$541)</f>
        <v/>
      </c>
      <c r="AB19" s="12">
        <f>TEXT(Z19,"0.0000")&amp;" ± "&amp;TEXT(AA19,"0.0000")</f>
        <v/>
      </c>
      <c r="AC19" s="24">
        <f>AVERAGEIF('Datos_Detalle'!$A$512:$A$541,A19,'Datos_Detalle'!L$512:L$541)</f>
        <v/>
      </c>
      <c r="AD19" s="24">
        <f>STDEV('Datos_Detalle'!L$512:L$541)</f>
        <v/>
      </c>
      <c r="AE19" s="12">
        <f>TEXT(AC19,"0.0000")&amp;" ± "&amp;TEXT(AD19,"0.0000")</f>
        <v/>
      </c>
      <c r="AF19" s="26" t="inlineStr">
        <is>
          <t>2.txt</t>
        </is>
      </c>
    </row>
  </sheetData>
  <autoFilter ref="A1:AF19"/>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2026-07-11T00:11:52+00:00Z</dcterms:created>
  <dcterms:modified xmlns:dcterms="http://purl.org/dc/terms/" xmlns:xsi="http://www.w3.org/2001/XMLSchema-instance" xsi:type="dcterms:W3CDTF">2026-07-11T00:11:53+00:00Z</dcterms:modified>
</cp:coreProperties>
</file>